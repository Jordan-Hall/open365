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0F6164E-6BEE-4F67-80C6-50BAD69CD045}" xr6:coauthVersionLast="47" xr6:coauthVersionMax="47" xr10:uidLastSave="{00000000-0000-0000-0000-000000000000}"/>
  <bookViews>
    <workbookView xWindow="3072" yWindow="3072" windowWidth="17280" windowHeight="9960" xr2:uid="{223ACD02-6813-47F8-8DA2-82411C0307E7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</sheets>
  <calcPr calcId="191029"/>
  <pivotCaches>
    <pivotCache cacheId="175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<sst xmlns="http://schemas.openxmlformats.org/spreadsheetml/2006/main" count="825" uniqueCount="75">
  <si>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</si>
  <si>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</si>
  <si>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</si>
  <si>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</si>
  <si>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</si>
  <si>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</si>
  <si>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</si>
  <si>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</si>
  <si>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</si>
  <si>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</si>
  <si>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West</t>
  </si>
  <si>
    <t>Online</t>
  </si>
  <si>
    <t>Gold</t>
  </si>
  <si>
    <t>S</t>
  </si>
  <si>
    <t>Fig</t>
  </si>
  <si>
    <t>Bronze</t>
  </si>
  <si>
    <t>L</t>
  </si>
  <si>
    <t>Cherry</t>
  </si>
  <si>
    <t>Partner</t>
  </si>
  <si>
    <t>North</t>
  </si>
  <si>
    <t>Banana</t>
  </si>
  <si>
    <t>apple</t>
  </si>
  <si>
    <t>Silver</t>
  </si>
  <si>
    <t>Retail</t>
  </si>
  <si>
    <t>South</t>
  </si>
  <si>
    <t>Walnut</t>
  </si>
  <si>
    <t>East</t>
  </si>
  <si>
    <t>Row Labels</t>
  </si>
  <si>
    <t>Grand Total</t>
  </si>
  <si>
    <t>Column Labels</t>
  </si>
  <si>
    <t>(blank)</t>
  </si>
  <si>
    <t>Var of Units</t>
  </si>
  <si>
    <t>Values</t>
  </si>
  <si>
    <t>Average of Units</t>
  </si>
  <si>
    <t>StdDevp of Price</t>
  </si>
  <si>
    <t>Product of Revenue</t>
  </si>
  <si>
    <t>Count of Units</t>
  </si>
  <si>
    <t>StdDevp of Revenue</t>
  </si>
  <si>
    <t>Max of Revenue</t>
  </si>
  <si>
    <t>Total Max of Revenue</t>
  </si>
  <si>
    <t>Total Average of Score</t>
  </si>
  <si>
    <t>Average of Score</t>
  </si>
  <si>
    <t>Total Sum of Price</t>
  </si>
  <si>
    <t>Sum of Price</t>
  </si>
  <si>
    <t>Online Total</t>
  </si>
  <si>
    <t>Partner Total</t>
  </si>
  <si>
    <t>Retail Total</t>
  </si>
  <si>
    <t>Product of Score</t>
  </si>
  <si>
    <t>Total Product of Score</t>
  </si>
  <si>
    <t>Total Max of Price</t>
  </si>
  <si>
    <t>Max of Price</t>
  </si>
  <si>
    <t>Total Product of Revenue</t>
  </si>
  <si>
    <t>Bronze Total</t>
  </si>
  <si>
    <t>Gold Total</t>
  </si>
  <si>
    <t>Silver Total</t>
  </si>
  <si>
    <t>Total Average of Units</t>
  </si>
  <si>
    <t>Total Max of Score</t>
  </si>
  <si>
    <t>Max of Score</t>
  </si>
  <si>
    <t>Total Count Numbers of Price</t>
  </si>
  <si>
    <t>Count Numbers of Price</t>
  </si>
  <si>
    <t>L Total</t>
  </si>
  <si>
    <t>S Total</t>
  </si>
  <si>
    <t>Count Numbers of Score</t>
  </si>
  <si>
    <t>Min of Units</t>
  </si>
  <si>
    <t>Count of Revenue</t>
  </si>
  <si>
    <t>Var of Score</t>
  </si>
  <si>
    <t>Total Var of Units</t>
  </si>
  <si>
    <t>Total Var of Score</t>
  </si>
  <si>
    <t>Total StdDev of Price</t>
  </si>
  <si>
    <t>StdDev of Price</t>
  </si>
  <si>
    <t>Average of Revenue</t>
  </si>
  <si>
    <t>Total Average of Revenue</t>
  </si>
  <si>
    <t>Total Count Numbers of Revenue</t>
  </si>
  <si>
    <t>Count Numbers of Revenue</t>
  </si>
  <si>
    <t>Min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</si>
</sst>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927430553" createdVersion="8" refreshedVersion="8" minRefreshableVersion="3" recordCount="70" xr:uid="{275EAB6C-C309-4CD6-B76F-2CC36F17352C}">
  <cacheSource type="worksheet">
    <worksheetSource ref="A1:J71" sheet="Data"/>
  </cacheSource>
  <cacheFields count="10">
    <cacheField name="Region" numFmtId="0">
      <sharedItems containsBlank="1" count="5">
        <s v="West"/>
        <m/>
        <s v="North"/>
        <s v="South"/>
        <s v="East"/>
      </sharedItems>
    </cacheField>
    <cacheField name="Product" numFmtId="0">
      <sharedItems count="6">
        <s v="Date"/>
        <s v="Fig"/>
        <s v="Cherry"/>
        <s v="Banana"/>
        <s v="apple"/>
        <s v="Walnut"/>
      </sharedItems>
    </cacheField>
    <cacheField name="Channel" numFmtId="0">
      <sharedItems count="3">
        <s v="Online"/>
        <s v="Partner"/>
        <s v="Retail"/>
      </sharedItems>
    </cacheField>
    <cacheField name="Date" numFmtId="14">
      <sharedItems containsSemiMixedTypes="0" containsNonDate="0" containsDate="1" containsString="0" minDate="2024-01-05T00:00:00" maxDate="2025-12-20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2.1" maxValue="97.59"/>
    </cacheField>
    <cacheField name="Revenue" numFmtId="4">
      <sharedItems containsString="0" containsBlank="1" containsNumber="1" minValue="21.44" maxValue="4230"/>
    </cacheField>
    <cacheField name="Score" numFmtId="0">
      <sharedItems containsSemiMixedTypes="0" containsString="0" containsNumber="1" containsInteger="1" minValue="2" maxValue="97"/>
    </cacheField>
    <cacheField name="Tier" numFmtId="0">
      <sharedItems count="3">
        <s v="Gold"/>
        <s v="Bronze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d v="2025-01-25T00:00:00"/>
    <n v="36"/>
    <n v="17.97"/>
    <n v="646.91999999999996"/>
    <n v="62"/>
    <x v="0"/>
    <x v="0"/>
  </r>
  <r>
    <x v="1"/>
    <x v="1"/>
    <x v="0"/>
    <d v="2024-02-25T00:00:00"/>
    <n v="47"/>
    <n v="84.8"/>
    <n v="3985.6"/>
    <n v="26"/>
    <x v="1"/>
    <x v="1"/>
  </r>
  <r>
    <x v="0"/>
    <x v="2"/>
    <x v="1"/>
    <d v="2025-01-21T00:00:00"/>
    <n v="46"/>
    <n v="11.55"/>
    <n v="531.29999999999995"/>
    <n v="28"/>
    <x v="0"/>
    <x v="0"/>
  </r>
  <r>
    <x v="2"/>
    <x v="3"/>
    <x v="1"/>
    <d v="2025-11-21T00:00:00"/>
    <n v="18"/>
    <n v="94.99"/>
    <n v="1709.82"/>
    <n v="50"/>
    <x v="1"/>
    <x v="0"/>
  </r>
  <r>
    <x v="0"/>
    <x v="4"/>
    <x v="1"/>
    <d v="2024-10-11T00:00:00"/>
    <n v="1"/>
    <n v="21.44"/>
    <n v="21.44"/>
    <n v="44"/>
    <x v="2"/>
    <x v="1"/>
  </r>
  <r>
    <x v="0"/>
    <x v="2"/>
    <x v="2"/>
    <d v="2025-06-22T00:00:00"/>
    <n v="38"/>
    <n v="12.3"/>
    <n v="467.4"/>
    <n v="66"/>
    <x v="1"/>
    <x v="1"/>
  </r>
  <r>
    <x v="3"/>
    <x v="5"/>
    <x v="2"/>
    <d v="2025-09-19T00:00:00"/>
    <n v="37"/>
    <n v="65.44"/>
    <n v="2421.2800000000002"/>
    <n v="65"/>
    <x v="2"/>
    <x v="1"/>
  </r>
  <r>
    <x v="2"/>
    <x v="3"/>
    <x v="0"/>
    <d v="2025-03-04T00:00:00"/>
    <n v="2"/>
    <n v="40.369999999999997"/>
    <n v="80.739999999999995"/>
    <n v="86"/>
    <x v="2"/>
    <x v="0"/>
  </r>
  <r>
    <x v="4"/>
    <x v="4"/>
    <x v="1"/>
    <d v="2025-07-09T00:00:00"/>
    <n v="2"/>
    <n v="68.45"/>
    <n v="136.9"/>
    <n v="2"/>
    <x v="1"/>
    <x v="1"/>
  </r>
  <r>
    <x v="4"/>
    <x v="0"/>
    <x v="1"/>
    <d v="2024-12-02T00:00:00"/>
    <n v="38"/>
    <n v="95.92"/>
    <n v="3644.96"/>
    <n v="29"/>
    <x v="2"/>
    <x v="1"/>
  </r>
  <r>
    <x v="2"/>
    <x v="1"/>
    <x v="0"/>
    <d v="2024-06-18T00:00:00"/>
    <n v="8"/>
    <n v="29.26"/>
    <n v="234.08"/>
    <n v="96"/>
    <x v="0"/>
    <x v="1"/>
  </r>
  <r>
    <x v="1"/>
    <x v="0"/>
    <x v="1"/>
    <d v="2025-10-01T00:00:00"/>
    <n v="26"/>
    <n v="13.52"/>
    <n v="351.52"/>
    <n v="52"/>
    <x v="0"/>
    <x v="1"/>
  </r>
  <r>
    <x v="0"/>
    <x v="5"/>
    <x v="0"/>
    <d v="2025-04-17T00:00:00"/>
    <n v="17"/>
    <n v="59.13"/>
    <n v="1005.21"/>
    <n v="54"/>
    <x v="1"/>
    <x v="1"/>
  </r>
  <r>
    <x v="3"/>
    <x v="1"/>
    <x v="0"/>
    <d v="2025-02-17T00:00:00"/>
    <n v="46"/>
    <n v="23.64"/>
    <n v="1087.44"/>
    <n v="11"/>
    <x v="1"/>
    <x v="1"/>
  </r>
  <r>
    <x v="4"/>
    <x v="2"/>
    <x v="1"/>
    <d v="2024-12-10T00:00:00"/>
    <n v="26"/>
    <n v="50.96"/>
    <n v="1324.96"/>
    <n v="40"/>
    <x v="1"/>
    <x v="1"/>
  </r>
  <r>
    <x v="4"/>
    <x v="0"/>
    <x v="2"/>
    <d v="2024-05-10T00:00:00"/>
    <n v="10"/>
    <n v="97.59"/>
    <n v="975.9"/>
    <n v="21"/>
    <x v="1"/>
    <x v="0"/>
  </r>
  <r>
    <x v="4"/>
    <x v="5"/>
    <x v="0"/>
    <d v="2025-04-29T00:00:00"/>
    <n v="39"/>
    <n v="4.9400000000000004"/>
    <n v="192.66"/>
    <n v="8"/>
    <x v="2"/>
    <x v="0"/>
  </r>
  <r>
    <x v="3"/>
    <x v="2"/>
    <x v="0"/>
    <d v="2025-07-09T00:00:00"/>
    <n v="48"/>
    <n v="9.6"/>
    <n v="460.8"/>
    <n v="18"/>
    <x v="1"/>
    <x v="1"/>
  </r>
  <r>
    <x v="2"/>
    <x v="4"/>
    <x v="2"/>
    <d v="2024-06-11T00:00:00"/>
    <n v="36"/>
    <n v="90.57"/>
    <n v="3260.52"/>
    <n v="55"/>
    <x v="1"/>
    <x v="0"/>
  </r>
  <r>
    <x v="3"/>
    <x v="4"/>
    <x v="1"/>
    <d v="2025-12-11T00:00:00"/>
    <n v="41"/>
    <n v="88.71"/>
    <n v="3637.11"/>
    <n v="7"/>
    <x v="1"/>
    <x v="0"/>
  </r>
  <r>
    <x v="0"/>
    <x v="2"/>
    <x v="2"/>
    <d v="2024-06-10T00:00:00"/>
    <n v="25"/>
    <n v="13.75"/>
    <n v="343.75"/>
    <n v="85"/>
    <x v="1"/>
    <x v="0"/>
  </r>
  <r>
    <x v="2"/>
    <x v="2"/>
    <x v="0"/>
    <d v="2025-09-27T00:00:00"/>
    <n v="20"/>
    <n v="86.34"/>
    <n v="1726.8"/>
    <n v="42"/>
    <x v="0"/>
    <x v="0"/>
  </r>
  <r>
    <x v="4"/>
    <x v="3"/>
    <x v="0"/>
    <d v="2024-11-02T00:00:00"/>
    <n v="37"/>
    <n v="92.96"/>
    <n v="3439.52"/>
    <n v="66"/>
    <x v="0"/>
    <x v="0"/>
  </r>
  <r>
    <x v="2"/>
    <x v="1"/>
    <x v="0"/>
    <d v="2025-10-08T00:00:00"/>
    <n v="35"/>
    <n v="37.79"/>
    <n v="1322.65"/>
    <n v="73"/>
    <x v="1"/>
    <x v="0"/>
  </r>
  <r>
    <x v="0"/>
    <x v="5"/>
    <x v="2"/>
    <d v="2024-09-14T00:00:00"/>
    <n v="36"/>
    <n v="70.22"/>
    <n v="2527.92"/>
    <n v="22"/>
    <x v="1"/>
    <x v="0"/>
  </r>
  <r>
    <x v="2"/>
    <x v="0"/>
    <x v="2"/>
    <d v="2025-04-16T00:00:00"/>
    <n v="4"/>
    <n v="24.87"/>
    <n v="99.48"/>
    <n v="40"/>
    <x v="1"/>
    <x v="0"/>
  </r>
  <r>
    <x v="0"/>
    <x v="5"/>
    <x v="0"/>
    <d v="2024-09-08T00:00:00"/>
    <n v="25"/>
    <n v="54.79"/>
    <n v="1369.75"/>
    <n v="43"/>
    <x v="2"/>
    <x v="1"/>
  </r>
  <r>
    <x v="4"/>
    <x v="4"/>
    <x v="2"/>
    <d v="2025-04-07T00:00:00"/>
    <n v="34"/>
    <n v="71.56"/>
    <n v="2433.04"/>
    <n v="75"/>
    <x v="0"/>
    <x v="0"/>
  </r>
  <r>
    <x v="2"/>
    <x v="0"/>
    <x v="0"/>
    <d v="2025-04-07T00:00:00"/>
    <n v="15"/>
    <n v="61.67"/>
    <n v="925.05"/>
    <n v="97"/>
    <x v="0"/>
    <x v="1"/>
  </r>
  <r>
    <x v="4"/>
    <x v="3"/>
    <x v="1"/>
    <d v="2024-09-01T00:00:00"/>
    <n v="34"/>
    <n v="91.39"/>
    <n v="3107.26"/>
    <n v="55"/>
    <x v="1"/>
    <x v="1"/>
  </r>
  <r>
    <x v="0"/>
    <x v="3"/>
    <x v="1"/>
    <d v="2025-03-03T00:00:00"/>
    <n v="1"/>
    <n v="60.98"/>
    <n v="60.98"/>
    <n v="75"/>
    <x v="0"/>
    <x v="0"/>
  </r>
  <r>
    <x v="3"/>
    <x v="4"/>
    <x v="0"/>
    <d v="2025-08-18T00:00:00"/>
    <n v="45"/>
    <n v="46.51"/>
    <n v="2092.9499999999998"/>
    <n v="71"/>
    <x v="0"/>
    <x v="0"/>
  </r>
  <r>
    <x v="0"/>
    <x v="4"/>
    <x v="1"/>
    <d v="2025-09-12T00:00:00"/>
    <n v="8"/>
    <n v="63.56"/>
    <n v="508.48"/>
    <n v="76"/>
    <x v="0"/>
    <x v="1"/>
  </r>
  <r>
    <x v="0"/>
    <x v="3"/>
    <x v="0"/>
    <d v="2024-03-12T00:00:00"/>
    <n v="19"/>
    <n v="62.7"/>
    <n v="1191.3"/>
    <n v="20"/>
    <x v="1"/>
    <x v="0"/>
  </r>
  <r>
    <x v="2"/>
    <x v="4"/>
    <x v="0"/>
    <d v="2024-02-17T00:00:00"/>
    <n v="43"/>
    <n v="64.75"/>
    <n v="2784.25"/>
    <n v="41"/>
    <x v="2"/>
    <x v="1"/>
  </r>
  <r>
    <x v="4"/>
    <x v="0"/>
    <x v="0"/>
    <d v="2025-12-19T00:00:00"/>
    <n v="37"/>
    <n v="56.36"/>
    <n v="2085.3200000000002"/>
    <n v="63"/>
    <x v="0"/>
    <x v="1"/>
  </r>
  <r>
    <x v="2"/>
    <x v="5"/>
    <x v="1"/>
    <d v="2024-05-21T00:00:00"/>
    <n v="27"/>
    <n v="38.01"/>
    <n v="1026.27"/>
    <n v="91"/>
    <x v="2"/>
    <x v="0"/>
  </r>
  <r>
    <x v="4"/>
    <x v="2"/>
    <x v="1"/>
    <d v="2024-09-05T00:00:00"/>
    <n v="25"/>
    <n v="30.71"/>
    <n v="767.75"/>
    <n v="72"/>
    <x v="1"/>
    <x v="1"/>
  </r>
  <r>
    <x v="4"/>
    <x v="2"/>
    <x v="2"/>
    <d v="2025-11-04T00:00:00"/>
    <n v="16"/>
    <n v="94.57"/>
    <n v="1513.12"/>
    <n v="47"/>
    <x v="0"/>
    <x v="0"/>
  </r>
  <r>
    <x v="3"/>
    <x v="3"/>
    <x v="0"/>
    <d v="2025-03-03T00:00:00"/>
    <n v="27"/>
    <n v="65.36"/>
    <n v="1764.72"/>
    <n v="28"/>
    <x v="0"/>
    <x v="0"/>
  </r>
  <r>
    <x v="0"/>
    <x v="1"/>
    <x v="2"/>
    <d v="2024-02-22T00:00:00"/>
    <n v="24"/>
    <n v="54.12"/>
    <n v="1298.8800000000001"/>
    <n v="69"/>
    <x v="0"/>
    <x v="1"/>
  </r>
  <r>
    <x v="0"/>
    <x v="1"/>
    <x v="1"/>
    <d v="2024-11-14T00:00:00"/>
    <n v="22"/>
    <n v="97.26"/>
    <n v="2139.7199999999998"/>
    <n v="90"/>
    <x v="2"/>
    <x v="0"/>
  </r>
  <r>
    <x v="2"/>
    <x v="4"/>
    <x v="2"/>
    <d v="2025-01-05T00:00:00"/>
    <n v="29"/>
    <n v="41.52"/>
    <n v="1204.08"/>
    <n v="16"/>
    <x v="0"/>
    <x v="1"/>
  </r>
  <r>
    <x v="0"/>
    <x v="0"/>
    <x v="2"/>
    <d v="2025-08-22T00:00:00"/>
    <n v="15"/>
    <n v="6.17"/>
    <n v="92.55"/>
    <n v="55"/>
    <x v="2"/>
    <x v="1"/>
  </r>
  <r>
    <x v="4"/>
    <x v="4"/>
    <x v="0"/>
    <d v="2024-02-01T00:00:00"/>
    <n v="23"/>
    <n v="3.56"/>
    <n v="81.88"/>
    <n v="61"/>
    <x v="0"/>
    <x v="0"/>
  </r>
  <r>
    <x v="2"/>
    <x v="4"/>
    <x v="1"/>
    <d v="2024-10-02T00:00:00"/>
    <n v="5"/>
    <n v="92.79"/>
    <n v="463.95"/>
    <n v="97"/>
    <x v="2"/>
    <x v="1"/>
  </r>
  <r>
    <x v="3"/>
    <x v="4"/>
    <x v="1"/>
    <d v="2025-11-05T00:00:00"/>
    <n v="41"/>
    <n v="60.37"/>
    <n v="2475.17"/>
    <n v="12"/>
    <x v="0"/>
    <x v="0"/>
  </r>
  <r>
    <x v="4"/>
    <x v="3"/>
    <x v="0"/>
    <d v="2025-01-10T00:00:00"/>
    <m/>
    <n v="54.96"/>
    <m/>
    <n v="93"/>
    <x v="2"/>
    <x v="0"/>
  </r>
  <r>
    <x v="2"/>
    <x v="5"/>
    <x v="2"/>
    <d v="2024-12-09T00:00:00"/>
    <n v="37"/>
    <n v="42.95"/>
    <n v="1589.15"/>
    <n v="33"/>
    <x v="1"/>
    <x v="1"/>
  </r>
  <r>
    <x v="2"/>
    <x v="1"/>
    <x v="1"/>
    <d v="2024-11-07T00:00:00"/>
    <n v="31"/>
    <n v="2.1"/>
    <n v="65.099999999999994"/>
    <n v="31"/>
    <x v="0"/>
    <x v="1"/>
  </r>
  <r>
    <x v="3"/>
    <x v="1"/>
    <x v="2"/>
    <d v="2024-02-29T00:00:00"/>
    <n v="31"/>
    <n v="46.41"/>
    <n v="1438.71"/>
    <n v="10"/>
    <x v="0"/>
    <x v="1"/>
  </r>
  <r>
    <x v="4"/>
    <x v="4"/>
    <x v="0"/>
    <d v="2024-03-24T00:00:00"/>
    <n v="36"/>
    <n v="84.03"/>
    <n v="3025.08"/>
    <n v="89"/>
    <x v="1"/>
    <x v="1"/>
  </r>
  <r>
    <x v="4"/>
    <x v="4"/>
    <x v="0"/>
    <d v="2024-02-28T00:00:00"/>
    <n v="15"/>
    <n v="22.59"/>
    <n v="338.85"/>
    <n v="77"/>
    <x v="1"/>
    <x v="0"/>
  </r>
  <r>
    <x v="0"/>
    <x v="5"/>
    <x v="1"/>
    <d v="2025-10-20T00:00:00"/>
    <n v="36"/>
    <n v="51.52"/>
    <n v="1854.72"/>
    <n v="5"/>
    <x v="0"/>
    <x v="0"/>
  </r>
  <r>
    <x v="4"/>
    <x v="3"/>
    <x v="2"/>
    <d v="2025-03-13T00:00:00"/>
    <n v="31"/>
    <n v="67.489999999999995"/>
    <n v="2092.19"/>
    <n v="34"/>
    <x v="1"/>
    <x v="1"/>
  </r>
  <r>
    <x v="0"/>
    <x v="2"/>
    <x v="1"/>
    <d v="2024-02-04T00:00:00"/>
    <n v="47"/>
    <n v="83.69"/>
    <n v="3933.43"/>
    <n v="57"/>
    <x v="0"/>
    <x v="0"/>
  </r>
  <r>
    <x v="3"/>
    <x v="2"/>
    <x v="2"/>
    <d v="2024-09-18T00:00:00"/>
    <n v="34"/>
    <n v="21.11"/>
    <n v="717.74"/>
    <n v="58"/>
    <x v="1"/>
    <x v="0"/>
  </r>
  <r>
    <x v="4"/>
    <x v="2"/>
    <x v="1"/>
    <d v="2025-03-29T00:00:00"/>
    <n v="27"/>
    <n v="18.11"/>
    <n v="488.97"/>
    <n v="40"/>
    <x v="0"/>
    <x v="0"/>
  </r>
  <r>
    <x v="0"/>
    <x v="5"/>
    <x v="2"/>
    <d v="2025-11-24T00:00:00"/>
    <n v="48"/>
    <n v="72.69"/>
    <n v="3489.12"/>
    <n v="87"/>
    <x v="2"/>
    <x v="0"/>
  </r>
  <r>
    <x v="2"/>
    <x v="5"/>
    <x v="0"/>
    <d v="2024-12-12T00:00:00"/>
    <n v="39"/>
    <n v="4.1900000000000004"/>
    <n v="163.41"/>
    <n v="5"/>
    <x v="1"/>
    <x v="1"/>
  </r>
  <r>
    <x v="3"/>
    <x v="0"/>
    <x v="2"/>
    <d v="2024-04-01T00:00:00"/>
    <n v="35"/>
    <n v="6.12"/>
    <n v="214.2"/>
    <n v="34"/>
    <x v="0"/>
    <x v="1"/>
  </r>
  <r>
    <x v="3"/>
    <x v="5"/>
    <x v="1"/>
    <d v="2025-12-08T00:00:00"/>
    <n v="3"/>
    <n v="17.16"/>
    <n v="51.48"/>
    <n v="59"/>
    <x v="0"/>
    <x v="1"/>
  </r>
  <r>
    <x v="4"/>
    <x v="4"/>
    <x v="1"/>
    <d v="2024-12-03T00:00:00"/>
    <n v="7"/>
    <n v="13.79"/>
    <n v="96.53"/>
    <n v="47"/>
    <x v="1"/>
    <x v="1"/>
  </r>
  <r>
    <x v="2"/>
    <x v="2"/>
    <x v="2"/>
    <d v="2025-11-28T00:00:00"/>
    <n v="35"/>
    <n v="20.440000000000001"/>
    <n v="715.4"/>
    <n v="95"/>
    <x v="0"/>
    <x v="1"/>
  </r>
  <r>
    <x v="4"/>
    <x v="5"/>
    <x v="0"/>
    <d v="2024-01-20T00:00:00"/>
    <n v="40"/>
    <n v="95.92"/>
    <n v="3836.8"/>
    <n v="12"/>
    <x v="1"/>
    <x v="0"/>
  </r>
  <r>
    <x v="4"/>
    <x v="1"/>
    <x v="2"/>
    <d v="2025-04-14T00:00:00"/>
    <n v="16"/>
    <n v="43.22"/>
    <n v="691.52"/>
    <n v="7"/>
    <x v="1"/>
    <x v="0"/>
  </r>
  <r>
    <x v="0"/>
    <x v="1"/>
    <x v="2"/>
    <d v="2024-01-05T00:00:00"/>
    <n v="11"/>
    <n v="35.31"/>
    <n v="388.41"/>
    <n v="71"/>
    <x v="2"/>
    <x v="1"/>
  </r>
  <r>
    <x v="2"/>
    <x v="3"/>
    <x v="1"/>
    <d v="2024-12-14T00:00:00"/>
    <n v="45"/>
    <n v="94"/>
    <n v="4230"/>
    <n v="92"/>
    <x v="2"/>
    <x v="1"/>
  </r>
  <r>
    <x v="1"/>
    <x v="5"/>
    <x v="1"/>
    <d v="2024-02-26T00:00:00"/>
    <n v="22"/>
    <n v="15.43"/>
    <n v="339.46"/>
    <n v="45"/>
    <x v="1"/>
    <x v="0"/>
  </r>
  <r>
    <x v="3"/>
    <x v="2"/>
    <x v="0"/>
    <d v="2025-05-24T00:00:00"/>
    <n v="30"/>
    <n v="44.01"/>
    <n v="1320.3"/>
    <n v="6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D06D19-8D7D-4454-9738-BCCEB7CD8ACB}" name="PT1" cacheId="17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R25" firstHeaderRow="1" firstDataRow="3" firstDataCol="2"/>
  <pivotFields count="10">
    <pivotField axis="axisCol" compact="0" showAll="0" defaultSubtotal="0">
      <items count="5">
        <item x="4"/>
        <item x="2"/>
        <item x="3"/>
        <item x="0"/>
        <item x="1"/>
      </items>
    </pivotField>
    <pivotField axis="axisRow"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/>
    <pivotField compact="0" numFmtId="14" showAll="0"/>
    <pivotField dataField="1" compact="0" showAll="0"/>
    <pivotField dataField="1" compact="0" numFmtId="2" showAll="0"/>
    <pivotField compact="0" showAll="0"/>
    <pivotField compact="0" showAll="0"/>
    <pivotField compact="0" showAll="0"/>
    <pivotField axis="axisRow" compact="0" showAll="0" sortType="descending">
      <items count="3">
        <item x="0"/>
        <item x="1"/>
        <item t="default"/>
      </items>
    </pivotField>
  </pivotFields>
  <rowFields count="2">
    <field x="1"/>
    <field x="9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2">
    <field x="0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</colItems>
  <dataFields count="3">
    <dataField name="Var of Units" fld="4" subtotal="var" baseField="0" baseItem="0"/>
    <dataField name="Average of Units" fld="4" subtotal="average" baseField="0" baseItem="0"/>
    <dataField name="StdDevp of Price" fld="5" subtotal="stdDevp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8604F-3A39-4376-A634-52790775B3EE}" name="PT2" cacheId="17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H10" firstHeaderRow="1" firstDataRow="3" firstDataCol="1"/>
  <pivotFields count="10">
    <pivotField showAll="0"/>
    <pivotField showAll="0"/>
    <pivotField axis="axisCol" showAll="0" defaultSubtotal="0">
      <items count="3">
        <item x="0"/>
        <item x="1"/>
        <item x="2"/>
      </items>
    </pivotField>
    <pivotField numFmtId="14" showAll="0"/>
    <pivotField dataField="1" showAll="0"/>
    <pivotField numFmtId="2"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dataFields count="2">
    <dataField name="Product of Revenue" fld="6" subtotal="product" baseField="0" baseItem="0"/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C01A5-2ADB-46C2-92A9-9FA28E43E8BE}" name="PT3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I6" firstHeaderRow="1" firstDataRow="2" firstDataCol="1"/>
  <pivotFields count="10">
    <pivotField showAll="0"/>
    <pivotField axis="axisCol" showAll="0">
      <items count="7">
        <item x="4"/>
        <item x="3"/>
        <item x="2"/>
        <item x="0"/>
        <item x="1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Items count="1">
    <i/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tdDevp of Revenue" fld="6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A0209-92FD-483F-B6BA-19572403EC4B}" name="PT4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M7" firstHeaderRow="1" firstDataRow="3" firstDataCol="0"/>
  <pivotFields count="10"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numFmtId="14" outline="0" showAll="0"/>
    <pivotField compact="0" outline="0" showAll="0"/>
    <pivotField dataField="1" compact="0" numFmtId="2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2">
    <field x="2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Max of Revenue" fld="6" subtotal="max" baseField="0" baseItem="0"/>
    <dataField name="Average of Score" fld="7" subtotal="average" baseField="0" baseItem="0"/>
    <dataField name="Sum of Price" fld="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65C69-10CC-454E-8761-7C4CC35E052B}" name="PT5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O28" firstHeaderRow="1" firstDataRow="3" firstDataCol="2"/>
  <pivotFields count="10">
    <pivotField compact="0" outline="0" showAll="0"/>
    <pivotField axis="axisRow" compact="0" outline="0" showAll="0" sortType="descending">
      <items count="7">
        <item x="5"/>
        <item x="1"/>
        <item x="0"/>
        <item x="2"/>
        <item x="3"/>
        <item x="4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  <pivotField compact="0" outline="0" showAll="0"/>
    <pivotField dataField="1" compact="0" numFmtId="2" outline="0" showAll="0"/>
    <pivotField dataField="1" compact="0" outline="0" showAll="0"/>
    <pivotField dataField="1"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2"/>
    <field x="1"/>
  </rowFields>
  <rowItems count="22">
    <i>
      <x/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t="default">
      <x v="2"/>
    </i>
    <i t="grand">
      <x/>
    </i>
  </rowItems>
  <colFields count="2">
    <field x="8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duct of Score" fld="7" subtotal="product" baseField="0" baseItem="0"/>
    <dataField name="Max of Price" fld="5" subtotal="max" baseField="0" baseItem="0" numFmtId="2"/>
    <dataField name="Product of Revenue" fld="6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234BF-EF28-48AD-A63E-58C069952F88}" name="PT6" cacheId="17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U18" firstHeaderRow="1" firstDataRow="3" firstDataCol="2"/>
  <pivotFields count="10">
    <pivotField axis="axisCol" compact="0" outline="0" showAll="0">
      <items count="6">
        <item x="4"/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  <pivotField dataField="1" compact="0" outline="0" showAll="0"/>
    <pivotField dataField="1" compact="0" numFmtId="2" outline="0" showAll="0"/>
    <pivotField compact="0" outline="0" showAll="0"/>
    <pivotField dataField="1" compact="0" outline="0" showAll="0"/>
    <pivotField axis="axisRow" compact="0" outline="0" showAll="0" sortType="descending">
      <items count="4">
        <item x="2"/>
        <item x="0"/>
        <item x="1"/>
        <item t="default"/>
      </items>
    </pivotField>
    <pivotField compact="0" outline="0" showAll="0"/>
  </pivotFields>
  <rowFields count="2">
    <field x="8"/>
    <field x="2"/>
  </rowFields>
  <rowItems count="12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</rowItems>
  <colFields count="2">
    <field x="0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Units" fld="4" subtotal="average" baseField="0" baseItem="0"/>
    <dataField name="Max of Score" fld="7" subtotal="max" baseField="0" baseItem="0"/>
    <dataField name="Count Numbers of Price" fld="5" subtotal="countNums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A393D-4F3E-42F8-B4A4-CC90F8F73FFE}" name="PT7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33" firstHeaderRow="1" firstDataRow="1" firstDataCol="3"/>
  <pivotFields count="10">
    <pivotField axis="axisRow" compact="0" outline="0" showAll="0" sortType="descending" defaultSubtotal="0">
      <items count="5">
        <item x="1"/>
        <item x="0"/>
        <item x="3"/>
        <item x="2"/>
        <item x="4"/>
      </items>
    </pivotField>
    <pivotField compact="0" outline="0" showAll="0"/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</pivotFields>
  <rowFields count="3">
    <field x="9"/>
    <field x="0"/>
    <field x="8"/>
  </rowFields>
  <rowItems count="29">
    <i>
      <x/>
      <x/>
      <x/>
    </i>
    <i r="2">
      <x v="1"/>
    </i>
    <i r="1"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t="default">
      <x/>
    </i>
    <i>
      <x v="1"/>
      <x/>
      <x/>
    </i>
    <i r="1">
      <x v="1"/>
      <x/>
    </i>
    <i r="2">
      <x v="1"/>
    </i>
    <i r="2">
      <x v="2"/>
    </i>
    <i r="1">
      <x v="2"/>
      <x/>
    </i>
    <i r="2">
      <x v="1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t="default">
      <x v="1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3F598-59F4-4C9F-BA8D-7549E92CD45C}" name="PT8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O7" firstHeaderRow="1" firstDataRow="3" firstDataCol="1"/>
  <pivotFields count="10">
    <pivotField axis="axisCol" compact="0" outline="0" showAll="0">
      <items count="6">
        <item x="4"/>
        <item x="2"/>
        <item x="3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Items count="1">
    <i/>
  </rowItems>
  <colFields count="2">
    <field x="9"/>
    <field x="0"/>
  </colFields>
  <col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 t="grand">
      <x/>
    </i>
  </colItems>
  <dataFields count="1">
    <dataField name="Count Numbers of Score" fld="7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45A6E-6B0C-46B8-B34D-283C2FC3BA6E}" name="PT9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10"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2">
    <field x="0"/>
    <field x="8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t="grand">
      <x/>
    </i>
  </rowItems>
  <colItems count="1">
    <i/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8BBD6-766E-4CF6-959F-23D96A3EDB54}" name="PT10" cacheId="17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4:F39" firstHeaderRow="0" firstDataRow="1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4"/>
        <item x="3"/>
        <item x="2"/>
        <item x="0"/>
        <item x="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9"/>
    <field x="1"/>
    <field x="2"/>
  </rowFields>
  <rowItems count="35">
    <i>
      <x/>
      <x/>
      <x/>
    </i>
    <i r="2">
      <x v="1"/>
    </i>
    <i r="2">
      <x v="2"/>
    </i>
    <i r="1">
      <x v="1"/>
      <x/>
    </i>
    <i r="2">
      <x v="1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t="default">
      <x/>
    </i>
    <i>
      <x v="1"/>
      <x/>
      <x/>
    </i>
    <i r="2">
      <x v="1"/>
    </i>
    <i r="2">
      <x v="2"/>
    </i>
    <i r="1">
      <x v="1"/>
      <x v="1"/>
    </i>
    <i r="2">
      <x v="2"/>
    </i>
    <i r="1">
      <x v="2"/>
      <x/>
    </i>
    <i r="2">
      <x v="1"/>
    </i>
    <i r="2">
      <x v="2"/>
    </i>
    <i r="1">
      <x v="3"/>
      <x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t="default">
      <x v="1"/>
    </i>
  </rowItems>
  <colFields count="1">
    <field x="-2"/>
  </colFields>
  <colItems count="2">
    <i>
      <x/>
    </i>
    <i i="1">
      <x v="1"/>
    </i>
  </colItems>
  <dataFields count="2">
    <dataField name="Count of Revenue" fld="6" subtotal="count" baseField="0" baseItem="0"/>
    <dataField name="Var of Score" fld="7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173AF-BF58-4124-A089-A3B078A655C8}" name="PT11" cacheId="17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U18" firstHeaderRow="1" firstDataRow="3" firstDataCol="2"/>
  <pivotFields count="10">
    <pivotField axis="axisCol" compact="0" outline="0" showAll="0">
      <items count="6">
        <item x="4"/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numFmtId="14" outline="0" showAll="0"/>
    <pivotField dataField="1" compact="0" outline="0" showAll="0"/>
    <pivotField dataField="1" compact="0" numFmtId="2" outline="0" showAll="0"/>
    <pivotField compact="0" outline="0" showAll="0"/>
    <pivotField dataField="1"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</pivotFields>
  <rowFields count="2">
    <field x="2"/>
    <field x="8"/>
  </rowFields>
  <rowItems count="12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</rowItems>
  <colFields count="2">
    <field x="0"/>
    <field x="-2"/>
  </colFields>
  <colItems count="18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Var of Units" fld="4" subtotal="var" baseField="0" baseItem="0"/>
    <dataField name="Var of Score" fld="7" subtotal="var" baseField="0" baseItem="0"/>
    <dataField name="StdDev of Price" fld="5" subtotal="stdDev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5CADC-4E34-48DE-88B9-7C6A66D625D3}" name="PT12" cacheId="17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Q18" firstHeaderRow="1" firstDataRow="3" firstDataCol="2"/>
  <pivotFields count="10">
    <pivotField axis="axisRow" compact="0" showAll="0">
      <items count="6">
        <item x="4"/>
        <item x="2"/>
        <item x="3"/>
        <item x="0"/>
        <item x="1"/>
        <item t="default"/>
      </items>
    </pivotField>
    <pivotField axis="axisCol" compact="0" showAll="0">
      <items count="7">
        <item x="4"/>
        <item x="3"/>
        <item x="2"/>
        <item x="0"/>
        <item x="1"/>
        <item x="5"/>
        <item t="default"/>
      </items>
    </pivotField>
    <pivotField compact="0" showAll="0"/>
    <pivotField compact="0" numFmtId="14" showAll="0"/>
    <pivotField compact="0" showAll="0"/>
    <pivotField compact="0" numFmtId="2" showAll="0"/>
    <pivotField dataField="1"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2">
    <field x="9"/>
    <field x="0"/>
  </rowFields>
  <rowItems count="12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</rowItems>
  <colFields count="2">
    <field x="1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Average of Revenue" fld="6" subtotal="average" baseField="0" baseItem="0"/>
    <dataField name="Product of Revenue" fld="6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9C6F5-B940-40FC-9A63-0DBCC7AECA3F}" name="PT13" cacheId="17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J12" firstHeaderRow="1" firstDataRow="3" firstDataCol="1"/>
  <pivotFields count="10">
    <pivotField showAll="0"/>
    <pivotField axis="axisRow" showAll="0" sortType="descending">
      <items count="7">
        <item x="5"/>
        <item x="1"/>
        <item x="0"/>
        <item x="2"/>
        <item x="3"/>
        <item x="4"/>
        <item t="default"/>
      </items>
    </pivotField>
    <pivotField showAll="0"/>
    <pivotField numFmtId="14" showAll="0"/>
    <pivotField showAll="0"/>
    <pivotField numFmtId="2" showAll="0"/>
    <pivotField dataField="1" showAll="0"/>
    <pivotField dataField="1" showAll="0"/>
    <pivotField axis="axisCol" showAll="0" defaultSubtotal="0">
      <items count="3">
        <item x="1"/>
        <item x="0"/>
        <item x="2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Product of Score" fld="7" subtotal="product" baseField="0" baseItem="0"/>
    <dataField name="Count Numbers of Revenue" fld="6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2C354-71BD-4BC1-8EAE-8162A6466A4A}" name="PT14" cacheId="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5" firstHeaderRow="0" firstDataRow="1" firstDataCol="0"/>
  <pivotFields count="10">
    <pivotField showAll="0"/>
    <pivotField showAll="0"/>
    <pivotField showAll="0"/>
    <pivotField numFmtId="14" showAll="0"/>
    <pivotField showAll="0"/>
    <pivotField dataField="1" numFmtId="2"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Price" fld="5" subtotal="min" baseField="0" baseItem="0" numFmtId="2"/>
    <dataField name="Average of Revenue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9A6D-219E-4FEC-80E1-5FE9584FADE1}">
  <dimension ref="A1:J7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45682</v>
      </c>
      <c r="E2">
        <v>36</v>
      </c>
      <c r="F2" s="2">
        <v>17.97</v>
      </c>
      <c r="G2" s="3">
        <v>646.91999999999996</v>
      </c>
      <c r="H2">
        <v>62</v>
      </c>
      <c r="I2" t="s">
        <v>12</v>
      </c>
      <c r="J2" t="s">
        <v>13</v>
      </c>
    </row>
    <row r="3" spans="1:10" x14ac:dyDescent="0.3">
      <c r="B3" t="s">
        <v>14</v>
      </c>
      <c r="C3" t="s">
        <v>11</v>
      </c>
      <c r="D3" s="1">
        <v>45347</v>
      </c>
      <c r="E3">
        <v>47</v>
      </c>
      <c r="F3" s="2">
        <v>84.8</v>
      </c>
      <c r="G3" s="3">
        <v>3985.6</v>
      </c>
      <c r="H3">
        <v>26</v>
      </c>
      <c r="I3" t="s">
        <v>15</v>
      </c>
      <c r="J3" t="s">
        <v>16</v>
      </c>
    </row>
    <row r="4" spans="1:10" x14ac:dyDescent="0.3">
      <c r="A4" t="s">
        <v>10</v>
      </c>
      <c r="B4" t="s">
        <v>17</v>
      </c>
      <c r="C4" t="s">
        <v>18</v>
      </c>
      <c r="D4" s="1">
        <v>45678</v>
      </c>
      <c r="E4">
        <v>46</v>
      </c>
      <c r="F4" s="2">
        <v>11.55</v>
      </c>
      <c r="G4" s="3">
        <v>531.29999999999995</v>
      </c>
      <c r="H4">
        <v>28</v>
      </c>
      <c r="I4" t="s">
        <v>12</v>
      </c>
      <c r="J4" t="s">
        <v>13</v>
      </c>
    </row>
    <row r="5" spans="1:10" x14ac:dyDescent="0.3">
      <c r="A5" t="s">
        <v>19</v>
      </c>
      <c r="B5" t="s">
        <v>20</v>
      </c>
      <c r="C5" t="s">
        <v>18</v>
      </c>
      <c r="D5" s="1">
        <v>45982</v>
      </c>
      <c r="E5">
        <v>18</v>
      </c>
      <c r="F5" s="2">
        <v>94.99</v>
      </c>
      <c r="G5" s="3">
        <v>1709.82</v>
      </c>
      <c r="H5">
        <v>50</v>
      </c>
      <c r="I5" t="s">
        <v>15</v>
      </c>
      <c r="J5" t="s">
        <v>13</v>
      </c>
    </row>
    <row r="6" spans="1:10" x14ac:dyDescent="0.3">
      <c r="A6" t="s">
        <v>10</v>
      </c>
      <c r="B6" t="s">
        <v>21</v>
      </c>
      <c r="C6" t="s">
        <v>18</v>
      </c>
      <c r="D6" s="1">
        <v>45576</v>
      </c>
      <c r="E6">
        <v>1</v>
      </c>
      <c r="F6" s="2">
        <v>21.44</v>
      </c>
      <c r="G6" s="3">
        <v>21.44</v>
      </c>
      <c r="H6">
        <v>44</v>
      </c>
      <c r="I6" t="s">
        <v>22</v>
      </c>
      <c r="J6" t="s">
        <v>16</v>
      </c>
    </row>
    <row r="7" spans="1:10" x14ac:dyDescent="0.3">
      <c r="A7" t="s">
        <v>10</v>
      </c>
      <c r="B7" t="s">
        <v>17</v>
      </c>
      <c r="C7" t="s">
        <v>23</v>
      </c>
      <c r="D7" s="1">
        <v>45830</v>
      </c>
      <c r="E7">
        <v>38</v>
      </c>
      <c r="F7" s="2">
        <v>12.3</v>
      </c>
      <c r="G7" s="3">
        <v>467.4</v>
      </c>
      <c r="H7">
        <v>66</v>
      </c>
      <c r="I7" t="s">
        <v>15</v>
      </c>
      <c r="J7" t="s">
        <v>16</v>
      </c>
    </row>
    <row r="8" spans="1:10" x14ac:dyDescent="0.3">
      <c r="A8" t="s">
        <v>24</v>
      </c>
      <c r="B8" t="s">
        <v>25</v>
      </c>
      <c r="C8" t="s">
        <v>23</v>
      </c>
      <c r="D8" s="1">
        <v>45919</v>
      </c>
      <c r="E8">
        <v>37</v>
      </c>
      <c r="F8" s="2">
        <v>65.44</v>
      </c>
      <c r="G8" s="3">
        <v>2421.2800000000002</v>
      </c>
      <c r="H8">
        <v>65</v>
      </c>
      <c r="I8" t="s">
        <v>22</v>
      </c>
      <c r="J8" t="s">
        <v>16</v>
      </c>
    </row>
    <row r="9" spans="1:10" x14ac:dyDescent="0.3">
      <c r="A9" t="s">
        <v>19</v>
      </c>
      <c r="B9" t="s">
        <v>20</v>
      </c>
      <c r="C9" t="s">
        <v>11</v>
      </c>
      <c r="D9" s="1">
        <v>45720</v>
      </c>
      <c r="E9">
        <v>2</v>
      </c>
      <c r="F9" s="2">
        <v>40.369999999999997</v>
      </c>
      <c r="G9" s="3">
        <v>80.739999999999995</v>
      </c>
      <c r="H9">
        <v>86</v>
      </c>
      <c r="I9" t="s">
        <v>22</v>
      </c>
      <c r="J9" t="s">
        <v>13</v>
      </c>
    </row>
    <row r="10" spans="1:10" x14ac:dyDescent="0.3">
      <c r="A10" t="s">
        <v>26</v>
      </c>
      <c r="B10" t="s">
        <v>21</v>
      </c>
      <c r="C10" t="s">
        <v>18</v>
      </c>
      <c r="D10" s="1">
        <v>45847</v>
      </c>
      <c r="E10">
        <v>2</v>
      </c>
      <c r="F10" s="2">
        <v>68.45</v>
      </c>
      <c r="G10" s="3">
        <v>136.9</v>
      </c>
      <c r="H10">
        <v>2</v>
      </c>
      <c r="I10" t="s">
        <v>15</v>
      </c>
      <c r="J10" t="s">
        <v>16</v>
      </c>
    </row>
    <row r="11" spans="1:10" x14ac:dyDescent="0.3">
      <c r="A11" t="s">
        <v>26</v>
      </c>
      <c r="B11" t="s">
        <v>3</v>
      </c>
      <c r="C11" t="s">
        <v>18</v>
      </c>
      <c r="D11" s="1">
        <v>45628</v>
      </c>
      <c r="E11">
        <v>38</v>
      </c>
      <c r="F11" s="2">
        <v>95.92</v>
      </c>
      <c r="G11" s="3">
        <v>3644.96</v>
      </c>
      <c r="H11">
        <v>29</v>
      </c>
      <c r="I11" t="s">
        <v>22</v>
      </c>
      <c r="J11" t="s">
        <v>16</v>
      </c>
    </row>
    <row r="12" spans="1:10" x14ac:dyDescent="0.3">
      <c r="A12" t="s">
        <v>19</v>
      </c>
      <c r="B12" t="s">
        <v>14</v>
      </c>
      <c r="C12" t="s">
        <v>11</v>
      </c>
      <c r="D12" s="1">
        <v>45461</v>
      </c>
      <c r="E12">
        <v>8</v>
      </c>
      <c r="F12" s="2">
        <v>29.26</v>
      </c>
      <c r="G12" s="3">
        <v>234.08</v>
      </c>
      <c r="H12">
        <v>96</v>
      </c>
      <c r="I12" t="s">
        <v>12</v>
      </c>
      <c r="J12" t="s">
        <v>16</v>
      </c>
    </row>
    <row r="13" spans="1:10" x14ac:dyDescent="0.3">
      <c r="B13" t="s">
        <v>3</v>
      </c>
      <c r="C13" t="s">
        <v>18</v>
      </c>
      <c r="D13" s="1">
        <v>45931</v>
      </c>
      <c r="E13">
        <v>26</v>
      </c>
      <c r="F13" s="2">
        <v>13.52</v>
      </c>
      <c r="G13" s="3">
        <v>351.52</v>
      </c>
      <c r="H13">
        <v>52</v>
      </c>
      <c r="I13" t="s">
        <v>12</v>
      </c>
      <c r="J13" t="s">
        <v>16</v>
      </c>
    </row>
    <row r="14" spans="1:10" x14ac:dyDescent="0.3">
      <c r="A14" t="s">
        <v>10</v>
      </c>
      <c r="B14" t="s">
        <v>25</v>
      </c>
      <c r="C14" t="s">
        <v>11</v>
      </c>
      <c r="D14" s="1">
        <v>45764</v>
      </c>
      <c r="E14">
        <v>17</v>
      </c>
      <c r="F14" s="2">
        <v>59.13</v>
      </c>
      <c r="G14" s="3">
        <v>1005.21</v>
      </c>
      <c r="H14">
        <v>54</v>
      </c>
      <c r="I14" t="s">
        <v>15</v>
      </c>
      <c r="J14" t="s">
        <v>16</v>
      </c>
    </row>
    <row r="15" spans="1:10" x14ac:dyDescent="0.3">
      <c r="A15" t="s">
        <v>24</v>
      </c>
      <c r="B15" t="s">
        <v>14</v>
      </c>
      <c r="C15" t="s">
        <v>11</v>
      </c>
      <c r="D15" s="1">
        <v>45705</v>
      </c>
      <c r="E15">
        <v>46</v>
      </c>
      <c r="F15" s="2">
        <v>23.64</v>
      </c>
      <c r="G15" s="3">
        <v>1087.44</v>
      </c>
      <c r="H15">
        <v>11</v>
      </c>
      <c r="I15" t="s">
        <v>15</v>
      </c>
      <c r="J15" t="s">
        <v>16</v>
      </c>
    </row>
    <row r="16" spans="1:10" x14ac:dyDescent="0.3">
      <c r="A16" t="s">
        <v>26</v>
      </c>
      <c r="B16" t="s">
        <v>17</v>
      </c>
      <c r="C16" t="s">
        <v>18</v>
      </c>
      <c r="D16" s="1">
        <v>45636</v>
      </c>
      <c r="E16">
        <v>26</v>
      </c>
      <c r="F16" s="2">
        <v>50.96</v>
      </c>
      <c r="G16" s="3">
        <v>1324.96</v>
      </c>
      <c r="H16">
        <v>40</v>
      </c>
      <c r="I16" t="s">
        <v>15</v>
      </c>
      <c r="J16" t="s">
        <v>16</v>
      </c>
    </row>
    <row r="17" spans="1:10" x14ac:dyDescent="0.3">
      <c r="A17" t="s">
        <v>26</v>
      </c>
      <c r="B17" t="s">
        <v>3</v>
      </c>
      <c r="C17" t="s">
        <v>23</v>
      </c>
      <c r="D17" s="1">
        <v>45422</v>
      </c>
      <c r="E17">
        <v>10</v>
      </c>
      <c r="F17" s="2">
        <v>97.59</v>
      </c>
      <c r="G17" s="3">
        <v>975.9</v>
      </c>
      <c r="H17">
        <v>21</v>
      </c>
      <c r="I17" t="s">
        <v>15</v>
      </c>
      <c r="J17" t="s">
        <v>13</v>
      </c>
    </row>
    <row r="18" spans="1:10" x14ac:dyDescent="0.3">
      <c r="A18" t="s">
        <v>26</v>
      </c>
      <c r="B18" t="s">
        <v>25</v>
      </c>
      <c r="C18" t="s">
        <v>11</v>
      </c>
      <c r="D18" s="1">
        <v>45776</v>
      </c>
      <c r="E18">
        <v>39</v>
      </c>
      <c r="F18" s="2">
        <v>4.9400000000000004</v>
      </c>
      <c r="G18" s="3">
        <v>192.66</v>
      </c>
      <c r="H18">
        <v>8</v>
      </c>
      <c r="I18" t="s">
        <v>22</v>
      </c>
      <c r="J18" t="s">
        <v>13</v>
      </c>
    </row>
    <row r="19" spans="1:10" x14ac:dyDescent="0.3">
      <c r="A19" t="s">
        <v>24</v>
      </c>
      <c r="B19" t="s">
        <v>17</v>
      </c>
      <c r="C19" t="s">
        <v>11</v>
      </c>
      <c r="D19" s="1">
        <v>45847</v>
      </c>
      <c r="E19">
        <v>48</v>
      </c>
      <c r="F19" s="2">
        <v>9.6</v>
      </c>
      <c r="G19" s="3">
        <v>460.8</v>
      </c>
      <c r="H19">
        <v>18</v>
      </c>
      <c r="I19" t="s">
        <v>15</v>
      </c>
      <c r="J19" t="s">
        <v>16</v>
      </c>
    </row>
    <row r="20" spans="1:10" x14ac:dyDescent="0.3">
      <c r="A20" t="s">
        <v>19</v>
      </c>
      <c r="B20" t="s">
        <v>21</v>
      </c>
      <c r="C20" t="s">
        <v>23</v>
      </c>
      <c r="D20" s="1">
        <v>45454</v>
      </c>
      <c r="E20">
        <v>36</v>
      </c>
      <c r="F20" s="2">
        <v>90.57</v>
      </c>
      <c r="G20" s="3">
        <v>3260.52</v>
      </c>
      <c r="H20">
        <v>55</v>
      </c>
      <c r="I20" t="s">
        <v>15</v>
      </c>
      <c r="J20" t="s">
        <v>13</v>
      </c>
    </row>
    <row r="21" spans="1:10" x14ac:dyDescent="0.3">
      <c r="A21" t="s">
        <v>24</v>
      </c>
      <c r="B21" t="s">
        <v>21</v>
      </c>
      <c r="C21" t="s">
        <v>18</v>
      </c>
      <c r="D21" s="1">
        <v>46002</v>
      </c>
      <c r="E21">
        <v>41</v>
      </c>
      <c r="F21" s="2">
        <v>88.71</v>
      </c>
      <c r="G21" s="3">
        <v>3637.11</v>
      </c>
      <c r="H21">
        <v>7</v>
      </c>
      <c r="I21" t="s">
        <v>15</v>
      </c>
      <c r="J21" t="s">
        <v>13</v>
      </c>
    </row>
    <row r="22" spans="1:10" x14ac:dyDescent="0.3">
      <c r="A22" t="s">
        <v>10</v>
      </c>
      <c r="B22" t="s">
        <v>17</v>
      </c>
      <c r="C22" t="s">
        <v>23</v>
      </c>
      <c r="D22" s="1">
        <v>45453</v>
      </c>
      <c r="E22">
        <v>25</v>
      </c>
      <c r="F22" s="2">
        <v>13.75</v>
      </c>
      <c r="G22" s="3">
        <v>343.75</v>
      </c>
      <c r="H22">
        <v>85</v>
      </c>
      <c r="I22" t="s">
        <v>15</v>
      </c>
      <c r="J22" t="s">
        <v>13</v>
      </c>
    </row>
    <row r="23" spans="1:10" x14ac:dyDescent="0.3">
      <c r="A23" t="s">
        <v>19</v>
      </c>
      <c r="B23" t="s">
        <v>17</v>
      </c>
      <c r="C23" t="s">
        <v>11</v>
      </c>
      <c r="D23" s="1">
        <v>45927</v>
      </c>
      <c r="E23">
        <v>20</v>
      </c>
      <c r="F23" s="2">
        <v>86.34</v>
      </c>
      <c r="G23" s="3">
        <v>1726.8</v>
      </c>
      <c r="H23">
        <v>42</v>
      </c>
      <c r="I23" t="s">
        <v>12</v>
      </c>
      <c r="J23" t="s">
        <v>13</v>
      </c>
    </row>
    <row r="24" spans="1:10" x14ac:dyDescent="0.3">
      <c r="A24" t="s">
        <v>26</v>
      </c>
      <c r="B24" t="s">
        <v>20</v>
      </c>
      <c r="C24" t="s">
        <v>11</v>
      </c>
      <c r="D24" s="1">
        <v>45598</v>
      </c>
      <c r="E24">
        <v>37</v>
      </c>
      <c r="F24" s="2">
        <v>92.96</v>
      </c>
      <c r="G24" s="3">
        <v>3439.52</v>
      </c>
      <c r="H24">
        <v>66</v>
      </c>
      <c r="I24" t="s">
        <v>12</v>
      </c>
      <c r="J24" t="s">
        <v>13</v>
      </c>
    </row>
    <row r="25" spans="1:10" x14ac:dyDescent="0.3">
      <c r="A25" t="s">
        <v>19</v>
      </c>
      <c r="B25" t="s">
        <v>14</v>
      </c>
      <c r="C25" t="s">
        <v>11</v>
      </c>
      <c r="D25" s="1">
        <v>45938</v>
      </c>
      <c r="E25">
        <v>35</v>
      </c>
      <c r="F25" s="2">
        <v>37.79</v>
      </c>
      <c r="G25" s="3">
        <v>1322.65</v>
      </c>
      <c r="H25">
        <v>73</v>
      </c>
      <c r="I25" t="s">
        <v>15</v>
      </c>
      <c r="J25" t="s">
        <v>13</v>
      </c>
    </row>
    <row r="26" spans="1:10" x14ac:dyDescent="0.3">
      <c r="A26" t="s">
        <v>10</v>
      </c>
      <c r="B26" t="s">
        <v>25</v>
      </c>
      <c r="C26" t="s">
        <v>23</v>
      </c>
      <c r="D26" s="1">
        <v>45549</v>
      </c>
      <c r="E26">
        <v>36</v>
      </c>
      <c r="F26" s="2">
        <v>70.22</v>
      </c>
      <c r="G26" s="3">
        <v>2527.92</v>
      </c>
      <c r="H26">
        <v>22</v>
      </c>
      <c r="I26" t="s">
        <v>15</v>
      </c>
      <c r="J26" t="s">
        <v>13</v>
      </c>
    </row>
    <row r="27" spans="1:10" x14ac:dyDescent="0.3">
      <c r="A27" t="s">
        <v>19</v>
      </c>
      <c r="B27" t="s">
        <v>3</v>
      </c>
      <c r="C27" t="s">
        <v>23</v>
      </c>
      <c r="D27" s="1">
        <v>45763</v>
      </c>
      <c r="E27">
        <v>4</v>
      </c>
      <c r="F27" s="2">
        <v>24.87</v>
      </c>
      <c r="G27" s="3">
        <v>99.48</v>
      </c>
      <c r="H27">
        <v>40</v>
      </c>
      <c r="I27" t="s">
        <v>15</v>
      </c>
      <c r="J27" t="s">
        <v>13</v>
      </c>
    </row>
    <row r="28" spans="1:10" x14ac:dyDescent="0.3">
      <c r="A28" t="s">
        <v>10</v>
      </c>
      <c r="B28" t="s">
        <v>25</v>
      </c>
      <c r="C28" t="s">
        <v>11</v>
      </c>
      <c r="D28" s="1">
        <v>45543</v>
      </c>
      <c r="E28">
        <v>25</v>
      </c>
      <c r="F28" s="2">
        <v>54.79</v>
      </c>
      <c r="G28" s="3">
        <v>1369.75</v>
      </c>
      <c r="H28">
        <v>43</v>
      </c>
      <c r="I28" t="s">
        <v>22</v>
      </c>
      <c r="J28" t="s">
        <v>16</v>
      </c>
    </row>
    <row r="29" spans="1:10" x14ac:dyDescent="0.3">
      <c r="A29" t="s">
        <v>26</v>
      </c>
      <c r="B29" t="s">
        <v>21</v>
      </c>
      <c r="C29" t="s">
        <v>23</v>
      </c>
      <c r="D29" s="1">
        <v>45754</v>
      </c>
      <c r="E29">
        <v>34</v>
      </c>
      <c r="F29" s="2">
        <v>71.56</v>
      </c>
      <c r="G29" s="3">
        <v>2433.04</v>
      </c>
      <c r="H29">
        <v>75</v>
      </c>
      <c r="I29" t="s">
        <v>12</v>
      </c>
      <c r="J29" t="s">
        <v>13</v>
      </c>
    </row>
    <row r="30" spans="1:10" x14ac:dyDescent="0.3">
      <c r="A30" t="s">
        <v>19</v>
      </c>
      <c r="B30" t="s">
        <v>3</v>
      </c>
      <c r="C30" t="s">
        <v>11</v>
      </c>
      <c r="D30" s="1">
        <v>45754</v>
      </c>
      <c r="E30">
        <v>15</v>
      </c>
      <c r="F30" s="2">
        <v>61.67</v>
      </c>
      <c r="G30" s="3">
        <v>925.05</v>
      </c>
      <c r="H30">
        <v>97</v>
      </c>
      <c r="I30" t="s">
        <v>12</v>
      </c>
      <c r="J30" t="s">
        <v>16</v>
      </c>
    </row>
    <row r="31" spans="1:10" x14ac:dyDescent="0.3">
      <c r="A31" t="s">
        <v>26</v>
      </c>
      <c r="B31" t="s">
        <v>20</v>
      </c>
      <c r="C31" t="s">
        <v>18</v>
      </c>
      <c r="D31" s="1">
        <v>45536</v>
      </c>
      <c r="E31">
        <v>34</v>
      </c>
      <c r="F31" s="2">
        <v>91.39</v>
      </c>
      <c r="G31" s="3">
        <v>3107.26</v>
      </c>
      <c r="H31">
        <v>55</v>
      </c>
      <c r="I31" t="s">
        <v>15</v>
      </c>
      <c r="J31" t="s">
        <v>16</v>
      </c>
    </row>
    <row r="32" spans="1:10" x14ac:dyDescent="0.3">
      <c r="A32" t="s">
        <v>10</v>
      </c>
      <c r="B32" t="s">
        <v>20</v>
      </c>
      <c r="C32" t="s">
        <v>18</v>
      </c>
      <c r="D32" s="1">
        <v>45719</v>
      </c>
      <c r="E32">
        <v>1</v>
      </c>
      <c r="F32" s="2">
        <v>60.98</v>
      </c>
      <c r="G32" s="3">
        <v>60.98</v>
      </c>
      <c r="H32">
        <v>75</v>
      </c>
      <c r="I32" t="s">
        <v>12</v>
      </c>
      <c r="J32" t="s">
        <v>13</v>
      </c>
    </row>
    <row r="33" spans="1:10" x14ac:dyDescent="0.3">
      <c r="A33" t="s">
        <v>24</v>
      </c>
      <c r="B33" t="s">
        <v>21</v>
      </c>
      <c r="C33" t="s">
        <v>11</v>
      </c>
      <c r="D33" s="1">
        <v>45887</v>
      </c>
      <c r="E33">
        <v>45</v>
      </c>
      <c r="F33" s="2">
        <v>46.51</v>
      </c>
      <c r="G33" s="3">
        <v>2092.9499999999998</v>
      </c>
      <c r="H33">
        <v>71</v>
      </c>
      <c r="I33" t="s">
        <v>12</v>
      </c>
      <c r="J33" t="s">
        <v>13</v>
      </c>
    </row>
    <row r="34" spans="1:10" x14ac:dyDescent="0.3">
      <c r="A34" t="s">
        <v>10</v>
      </c>
      <c r="B34" t="s">
        <v>21</v>
      </c>
      <c r="C34" t="s">
        <v>18</v>
      </c>
      <c r="D34" s="1">
        <v>45912</v>
      </c>
      <c r="E34">
        <v>8</v>
      </c>
      <c r="F34" s="2">
        <v>63.56</v>
      </c>
      <c r="G34" s="3">
        <v>508.48</v>
      </c>
      <c r="H34">
        <v>76</v>
      </c>
      <c r="I34" t="s">
        <v>12</v>
      </c>
      <c r="J34" t="s">
        <v>16</v>
      </c>
    </row>
    <row r="35" spans="1:10" x14ac:dyDescent="0.3">
      <c r="A35" t="s">
        <v>10</v>
      </c>
      <c r="B35" t="s">
        <v>20</v>
      </c>
      <c r="C35" t="s">
        <v>11</v>
      </c>
      <c r="D35" s="1">
        <v>45363</v>
      </c>
      <c r="E35">
        <v>19</v>
      </c>
      <c r="F35" s="2">
        <v>62.7</v>
      </c>
      <c r="G35" s="3">
        <v>1191.3</v>
      </c>
      <c r="H35">
        <v>20</v>
      </c>
      <c r="I35" t="s">
        <v>15</v>
      </c>
      <c r="J35" t="s">
        <v>13</v>
      </c>
    </row>
    <row r="36" spans="1:10" x14ac:dyDescent="0.3">
      <c r="A36" t="s">
        <v>19</v>
      </c>
      <c r="B36" t="s">
        <v>21</v>
      </c>
      <c r="C36" t="s">
        <v>11</v>
      </c>
      <c r="D36" s="1">
        <v>45339</v>
      </c>
      <c r="E36">
        <v>43</v>
      </c>
      <c r="F36" s="2">
        <v>64.75</v>
      </c>
      <c r="G36" s="3">
        <v>2784.25</v>
      </c>
      <c r="H36">
        <v>41</v>
      </c>
      <c r="I36" t="s">
        <v>22</v>
      </c>
      <c r="J36" t="s">
        <v>16</v>
      </c>
    </row>
    <row r="37" spans="1:10" x14ac:dyDescent="0.3">
      <c r="A37" t="s">
        <v>26</v>
      </c>
      <c r="B37" t="s">
        <v>3</v>
      </c>
      <c r="C37" t="s">
        <v>11</v>
      </c>
      <c r="D37" s="1">
        <v>46010</v>
      </c>
      <c r="E37">
        <v>37</v>
      </c>
      <c r="F37" s="2">
        <v>56.36</v>
      </c>
      <c r="G37" s="3">
        <v>2085.3200000000002</v>
      </c>
      <c r="H37">
        <v>63</v>
      </c>
      <c r="I37" t="s">
        <v>12</v>
      </c>
      <c r="J37" t="s">
        <v>16</v>
      </c>
    </row>
    <row r="38" spans="1:10" x14ac:dyDescent="0.3">
      <c r="A38" t="s">
        <v>19</v>
      </c>
      <c r="B38" t="s">
        <v>25</v>
      </c>
      <c r="C38" t="s">
        <v>18</v>
      </c>
      <c r="D38" s="1">
        <v>45433</v>
      </c>
      <c r="E38">
        <v>27</v>
      </c>
      <c r="F38" s="2">
        <v>38.01</v>
      </c>
      <c r="G38" s="3">
        <v>1026.27</v>
      </c>
      <c r="H38">
        <v>91</v>
      </c>
      <c r="I38" t="s">
        <v>22</v>
      </c>
      <c r="J38" t="s">
        <v>13</v>
      </c>
    </row>
    <row r="39" spans="1:10" x14ac:dyDescent="0.3">
      <c r="A39" t="s">
        <v>26</v>
      </c>
      <c r="B39" t="s">
        <v>17</v>
      </c>
      <c r="C39" t="s">
        <v>18</v>
      </c>
      <c r="D39" s="1">
        <v>45540</v>
      </c>
      <c r="E39">
        <v>25</v>
      </c>
      <c r="F39" s="2">
        <v>30.71</v>
      </c>
      <c r="G39" s="3">
        <v>767.75</v>
      </c>
      <c r="H39">
        <v>72</v>
      </c>
      <c r="I39" t="s">
        <v>15</v>
      </c>
      <c r="J39" t="s">
        <v>16</v>
      </c>
    </row>
    <row r="40" spans="1:10" x14ac:dyDescent="0.3">
      <c r="A40" t="s">
        <v>26</v>
      </c>
      <c r="B40" t="s">
        <v>17</v>
      </c>
      <c r="C40" t="s">
        <v>23</v>
      </c>
      <c r="D40" s="1">
        <v>45965</v>
      </c>
      <c r="E40">
        <v>16</v>
      </c>
      <c r="F40" s="2">
        <v>94.57</v>
      </c>
      <c r="G40" s="3">
        <v>1513.12</v>
      </c>
      <c r="H40">
        <v>47</v>
      </c>
      <c r="I40" t="s">
        <v>12</v>
      </c>
      <c r="J40" t="s">
        <v>13</v>
      </c>
    </row>
    <row r="41" spans="1:10" x14ac:dyDescent="0.3">
      <c r="A41" t="s">
        <v>24</v>
      </c>
      <c r="B41" t="s">
        <v>20</v>
      </c>
      <c r="C41" t="s">
        <v>11</v>
      </c>
      <c r="D41" s="1">
        <v>45719</v>
      </c>
      <c r="E41">
        <v>27</v>
      </c>
      <c r="F41" s="2">
        <v>65.36</v>
      </c>
      <c r="G41" s="3">
        <v>1764.72</v>
      </c>
      <c r="H41">
        <v>28</v>
      </c>
      <c r="I41" t="s">
        <v>12</v>
      </c>
      <c r="J41" t="s">
        <v>13</v>
      </c>
    </row>
    <row r="42" spans="1:10" x14ac:dyDescent="0.3">
      <c r="A42" t="s">
        <v>10</v>
      </c>
      <c r="B42" t="s">
        <v>14</v>
      </c>
      <c r="C42" t="s">
        <v>23</v>
      </c>
      <c r="D42" s="1">
        <v>45344</v>
      </c>
      <c r="E42">
        <v>24</v>
      </c>
      <c r="F42" s="2">
        <v>54.12</v>
      </c>
      <c r="G42" s="3">
        <v>1298.8800000000001</v>
      </c>
      <c r="H42">
        <v>69</v>
      </c>
      <c r="I42" t="s">
        <v>12</v>
      </c>
      <c r="J42" t="s">
        <v>16</v>
      </c>
    </row>
    <row r="43" spans="1:10" x14ac:dyDescent="0.3">
      <c r="A43" t="s">
        <v>10</v>
      </c>
      <c r="B43" t="s">
        <v>14</v>
      </c>
      <c r="C43" t="s">
        <v>18</v>
      </c>
      <c r="D43" s="1">
        <v>45610</v>
      </c>
      <c r="E43">
        <v>22</v>
      </c>
      <c r="F43" s="2">
        <v>97.26</v>
      </c>
      <c r="G43" s="3">
        <v>2139.7199999999998</v>
      </c>
      <c r="H43">
        <v>90</v>
      </c>
      <c r="I43" t="s">
        <v>22</v>
      </c>
      <c r="J43" t="s">
        <v>13</v>
      </c>
    </row>
    <row r="44" spans="1:10" x14ac:dyDescent="0.3">
      <c r="A44" t="s">
        <v>19</v>
      </c>
      <c r="B44" t="s">
        <v>21</v>
      </c>
      <c r="C44" t="s">
        <v>23</v>
      </c>
      <c r="D44" s="1">
        <v>45662</v>
      </c>
      <c r="E44">
        <v>29</v>
      </c>
      <c r="F44" s="2">
        <v>41.52</v>
      </c>
      <c r="G44" s="3">
        <v>1204.08</v>
      </c>
      <c r="H44">
        <v>16</v>
      </c>
      <c r="I44" t="s">
        <v>12</v>
      </c>
      <c r="J44" t="s">
        <v>16</v>
      </c>
    </row>
    <row r="45" spans="1:10" x14ac:dyDescent="0.3">
      <c r="A45" t="s">
        <v>10</v>
      </c>
      <c r="B45" t="s">
        <v>3</v>
      </c>
      <c r="C45" t="s">
        <v>23</v>
      </c>
      <c r="D45" s="1">
        <v>45891</v>
      </c>
      <c r="E45">
        <v>15</v>
      </c>
      <c r="F45" s="2">
        <v>6.17</v>
      </c>
      <c r="G45" s="3">
        <v>92.55</v>
      </c>
      <c r="H45">
        <v>55</v>
      </c>
      <c r="I45" t="s">
        <v>22</v>
      </c>
      <c r="J45" t="s">
        <v>16</v>
      </c>
    </row>
    <row r="46" spans="1:10" x14ac:dyDescent="0.3">
      <c r="A46" t="s">
        <v>26</v>
      </c>
      <c r="B46" t="s">
        <v>21</v>
      </c>
      <c r="C46" t="s">
        <v>11</v>
      </c>
      <c r="D46" s="1">
        <v>45323</v>
      </c>
      <c r="E46">
        <v>23</v>
      </c>
      <c r="F46" s="2">
        <v>3.56</v>
      </c>
      <c r="G46" s="3">
        <v>81.88</v>
      </c>
      <c r="H46">
        <v>61</v>
      </c>
      <c r="I46" t="s">
        <v>12</v>
      </c>
      <c r="J46" t="s">
        <v>13</v>
      </c>
    </row>
    <row r="47" spans="1:10" x14ac:dyDescent="0.3">
      <c r="A47" t="s">
        <v>19</v>
      </c>
      <c r="B47" t="s">
        <v>21</v>
      </c>
      <c r="C47" t="s">
        <v>18</v>
      </c>
      <c r="D47" s="1">
        <v>45567</v>
      </c>
      <c r="E47">
        <v>5</v>
      </c>
      <c r="F47" s="2">
        <v>92.79</v>
      </c>
      <c r="G47" s="3">
        <v>463.95</v>
      </c>
      <c r="H47">
        <v>97</v>
      </c>
      <c r="I47" t="s">
        <v>22</v>
      </c>
      <c r="J47" t="s">
        <v>16</v>
      </c>
    </row>
    <row r="48" spans="1:10" x14ac:dyDescent="0.3">
      <c r="A48" t="s">
        <v>24</v>
      </c>
      <c r="B48" t="s">
        <v>21</v>
      </c>
      <c r="C48" t="s">
        <v>18</v>
      </c>
      <c r="D48" s="1">
        <v>45966</v>
      </c>
      <c r="E48">
        <v>41</v>
      </c>
      <c r="F48" s="2">
        <v>60.37</v>
      </c>
      <c r="G48" s="3">
        <v>2475.17</v>
      </c>
      <c r="H48">
        <v>12</v>
      </c>
      <c r="I48" t="s">
        <v>12</v>
      </c>
      <c r="J48" t="s">
        <v>13</v>
      </c>
    </row>
    <row r="49" spans="1:10" x14ac:dyDescent="0.3">
      <c r="A49" t="s">
        <v>26</v>
      </c>
      <c r="B49" t="s">
        <v>20</v>
      </c>
      <c r="C49" t="s">
        <v>11</v>
      </c>
      <c r="D49" s="1">
        <v>45667</v>
      </c>
      <c r="F49" s="2">
        <v>54.96</v>
      </c>
      <c r="G49" s="3"/>
      <c r="H49">
        <v>93</v>
      </c>
      <c r="I49" t="s">
        <v>22</v>
      </c>
      <c r="J49" t="s">
        <v>13</v>
      </c>
    </row>
    <row r="50" spans="1:10" x14ac:dyDescent="0.3">
      <c r="A50" t="s">
        <v>19</v>
      </c>
      <c r="B50" t="s">
        <v>25</v>
      </c>
      <c r="C50" t="s">
        <v>23</v>
      </c>
      <c r="D50" s="1">
        <v>45635</v>
      </c>
      <c r="E50">
        <v>37</v>
      </c>
      <c r="F50" s="2">
        <v>42.95</v>
      </c>
      <c r="G50" s="3">
        <v>1589.15</v>
      </c>
      <c r="H50">
        <v>33</v>
      </c>
      <c r="I50" t="s">
        <v>15</v>
      </c>
      <c r="J50" t="s">
        <v>16</v>
      </c>
    </row>
    <row r="51" spans="1:10" x14ac:dyDescent="0.3">
      <c r="A51" t="s">
        <v>19</v>
      </c>
      <c r="B51" t="s">
        <v>14</v>
      </c>
      <c r="C51" t="s">
        <v>18</v>
      </c>
      <c r="D51" s="1">
        <v>45603</v>
      </c>
      <c r="E51">
        <v>31</v>
      </c>
      <c r="F51" s="2">
        <v>2.1</v>
      </c>
      <c r="G51" s="3">
        <v>65.099999999999994</v>
      </c>
      <c r="H51">
        <v>31</v>
      </c>
      <c r="I51" t="s">
        <v>12</v>
      </c>
      <c r="J51" t="s">
        <v>16</v>
      </c>
    </row>
    <row r="52" spans="1:10" x14ac:dyDescent="0.3">
      <c r="A52" t="s">
        <v>24</v>
      </c>
      <c r="B52" t="s">
        <v>14</v>
      </c>
      <c r="C52" t="s">
        <v>23</v>
      </c>
      <c r="D52" s="1">
        <v>45351</v>
      </c>
      <c r="E52">
        <v>31</v>
      </c>
      <c r="F52" s="2">
        <v>46.41</v>
      </c>
      <c r="G52" s="3">
        <v>1438.71</v>
      </c>
      <c r="H52">
        <v>10</v>
      </c>
      <c r="I52" t="s">
        <v>12</v>
      </c>
      <c r="J52" t="s">
        <v>16</v>
      </c>
    </row>
    <row r="53" spans="1:10" x14ac:dyDescent="0.3">
      <c r="A53" t="s">
        <v>26</v>
      </c>
      <c r="B53" t="s">
        <v>21</v>
      </c>
      <c r="C53" t="s">
        <v>11</v>
      </c>
      <c r="D53" s="1">
        <v>45375</v>
      </c>
      <c r="E53">
        <v>36</v>
      </c>
      <c r="F53" s="2">
        <v>84.03</v>
      </c>
      <c r="G53" s="3">
        <v>3025.08</v>
      </c>
      <c r="H53">
        <v>89</v>
      </c>
      <c r="I53" t="s">
        <v>15</v>
      </c>
      <c r="J53" t="s">
        <v>16</v>
      </c>
    </row>
    <row r="54" spans="1:10" x14ac:dyDescent="0.3">
      <c r="A54" t="s">
        <v>26</v>
      </c>
      <c r="B54" t="s">
        <v>21</v>
      </c>
      <c r="C54" t="s">
        <v>11</v>
      </c>
      <c r="D54" s="1">
        <v>45350</v>
      </c>
      <c r="E54">
        <v>15</v>
      </c>
      <c r="F54" s="2">
        <v>22.59</v>
      </c>
      <c r="G54" s="3">
        <v>338.85</v>
      </c>
      <c r="H54">
        <v>77</v>
      </c>
      <c r="I54" t="s">
        <v>15</v>
      </c>
      <c r="J54" t="s">
        <v>13</v>
      </c>
    </row>
    <row r="55" spans="1:10" x14ac:dyDescent="0.3">
      <c r="A55" t="s">
        <v>10</v>
      </c>
      <c r="B55" t="s">
        <v>25</v>
      </c>
      <c r="C55" t="s">
        <v>18</v>
      </c>
      <c r="D55" s="1">
        <v>45950</v>
      </c>
      <c r="E55">
        <v>36</v>
      </c>
      <c r="F55" s="2">
        <v>51.52</v>
      </c>
      <c r="G55" s="3">
        <v>1854.72</v>
      </c>
      <c r="H55">
        <v>5</v>
      </c>
      <c r="I55" t="s">
        <v>12</v>
      </c>
      <c r="J55" t="s">
        <v>13</v>
      </c>
    </row>
    <row r="56" spans="1:10" x14ac:dyDescent="0.3">
      <c r="A56" t="s">
        <v>26</v>
      </c>
      <c r="B56" t="s">
        <v>20</v>
      </c>
      <c r="C56" t="s">
        <v>23</v>
      </c>
      <c r="D56" s="1">
        <v>45729</v>
      </c>
      <c r="E56">
        <v>31</v>
      </c>
      <c r="F56" s="2">
        <v>67.489999999999995</v>
      </c>
      <c r="G56" s="3">
        <v>2092.19</v>
      </c>
      <c r="H56">
        <v>34</v>
      </c>
      <c r="I56" t="s">
        <v>15</v>
      </c>
      <c r="J56" t="s">
        <v>16</v>
      </c>
    </row>
    <row r="57" spans="1:10" x14ac:dyDescent="0.3">
      <c r="A57" t="s">
        <v>10</v>
      </c>
      <c r="B57" t="s">
        <v>17</v>
      </c>
      <c r="C57" t="s">
        <v>18</v>
      </c>
      <c r="D57" s="1">
        <v>45326</v>
      </c>
      <c r="E57">
        <v>47</v>
      </c>
      <c r="F57" s="2">
        <v>83.69</v>
      </c>
      <c r="G57" s="3">
        <v>3933.43</v>
      </c>
      <c r="H57">
        <v>57</v>
      </c>
      <c r="I57" t="s">
        <v>12</v>
      </c>
      <c r="J57" t="s">
        <v>13</v>
      </c>
    </row>
    <row r="58" spans="1:10" x14ac:dyDescent="0.3">
      <c r="A58" t="s">
        <v>24</v>
      </c>
      <c r="B58" t="s">
        <v>17</v>
      </c>
      <c r="C58" t="s">
        <v>23</v>
      </c>
      <c r="D58" s="1">
        <v>45553</v>
      </c>
      <c r="E58">
        <v>34</v>
      </c>
      <c r="F58" s="2">
        <v>21.11</v>
      </c>
      <c r="G58" s="3">
        <v>717.74</v>
      </c>
      <c r="H58">
        <v>58</v>
      </c>
      <c r="I58" t="s">
        <v>15</v>
      </c>
      <c r="J58" t="s">
        <v>13</v>
      </c>
    </row>
    <row r="59" spans="1:10" x14ac:dyDescent="0.3">
      <c r="A59" t="s">
        <v>26</v>
      </c>
      <c r="B59" t="s">
        <v>17</v>
      </c>
      <c r="C59" t="s">
        <v>18</v>
      </c>
      <c r="D59" s="1">
        <v>45745</v>
      </c>
      <c r="E59">
        <v>27</v>
      </c>
      <c r="F59" s="2">
        <v>18.11</v>
      </c>
      <c r="G59" s="3">
        <v>488.97</v>
      </c>
      <c r="H59">
        <v>40</v>
      </c>
      <c r="I59" t="s">
        <v>12</v>
      </c>
      <c r="J59" t="s">
        <v>13</v>
      </c>
    </row>
    <row r="60" spans="1:10" x14ac:dyDescent="0.3">
      <c r="A60" t="s">
        <v>10</v>
      </c>
      <c r="B60" t="s">
        <v>25</v>
      </c>
      <c r="C60" t="s">
        <v>23</v>
      </c>
      <c r="D60" s="1">
        <v>45985</v>
      </c>
      <c r="E60">
        <v>48</v>
      </c>
      <c r="F60" s="2">
        <v>72.69</v>
      </c>
      <c r="G60" s="3">
        <v>3489.12</v>
      </c>
      <c r="H60">
        <v>87</v>
      </c>
      <c r="I60" t="s">
        <v>22</v>
      </c>
      <c r="J60" t="s">
        <v>13</v>
      </c>
    </row>
    <row r="61" spans="1:10" x14ac:dyDescent="0.3">
      <c r="A61" t="s">
        <v>19</v>
      </c>
      <c r="B61" t="s">
        <v>25</v>
      </c>
      <c r="C61" t="s">
        <v>11</v>
      </c>
      <c r="D61" s="1">
        <v>45638</v>
      </c>
      <c r="E61">
        <v>39</v>
      </c>
      <c r="F61" s="2">
        <v>4.1900000000000004</v>
      </c>
      <c r="G61" s="3">
        <v>163.41</v>
      </c>
      <c r="H61">
        <v>5</v>
      </c>
      <c r="I61" t="s">
        <v>15</v>
      </c>
      <c r="J61" t="s">
        <v>16</v>
      </c>
    </row>
    <row r="62" spans="1:10" x14ac:dyDescent="0.3">
      <c r="A62" t="s">
        <v>24</v>
      </c>
      <c r="B62" t="s">
        <v>3</v>
      </c>
      <c r="C62" t="s">
        <v>23</v>
      </c>
      <c r="D62" s="1">
        <v>45383</v>
      </c>
      <c r="E62">
        <v>35</v>
      </c>
      <c r="F62" s="2">
        <v>6.12</v>
      </c>
      <c r="G62" s="3">
        <v>214.2</v>
      </c>
      <c r="H62">
        <v>34</v>
      </c>
      <c r="I62" t="s">
        <v>12</v>
      </c>
      <c r="J62" t="s">
        <v>16</v>
      </c>
    </row>
    <row r="63" spans="1:10" x14ac:dyDescent="0.3">
      <c r="A63" t="s">
        <v>24</v>
      </c>
      <c r="B63" t="s">
        <v>25</v>
      </c>
      <c r="C63" t="s">
        <v>18</v>
      </c>
      <c r="D63" s="1">
        <v>45999</v>
      </c>
      <c r="E63">
        <v>3</v>
      </c>
      <c r="F63" s="2">
        <v>17.16</v>
      </c>
      <c r="G63" s="3">
        <v>51.48</v>
      </c>
      <c r="H63">
        <v>59</v>
      </c>
      <c r="I63" t="s">
        <v>12</v>
      </c>
      <c r="J63" t="s">
        <v>16</v>
      </c>
    </row>
    <row r="64" spans="1:10" x14ac:dyDescent="0.3">
      <c r="A64" t="s">
        <v>26</v>
      </c>
      <c r="B64" t="s">
        <v>21</v>
      </c>
      <c r="C64" t="s">
        <v>18</v>
      </c>
      <c r="D64" s="1">
        <v>45629</v>
      </c>
      <c r="E64">
        <v>7</v>
      </c>
      <c r="F64" s="2">
        <v>13.79</v>
      </c>
      <c r="G64" s="3">
        <v>96.53</v>
      </c>
      <c r="H64">
        <v>47</v>
      </c>
      <c r="I64" t="s">
        <v>15</v>
      </c>
      <c r="J64" t="s">
        <v>16</v>
      </c>
    </row>
    <row r="65" spans="1:10" x14ac:dyDescent="0.3">
      <c r="A65" t="s">
        <v>19</v>
      </c>
      <c r="B65" t="s">
        <v>17</v>
      </c>
      <c r="C65" t="s">
        <v>23</v>
      </c>
      <c r="D65" s="1">
        <v>45989</v>
      </c>
      <c r="E65">
        <v>35</v>
      </c>
      <c r="F65" s="2">
        <v>20.440000000000001</v>
      </c>
      <c r="G65" s="3">
        <v>715.4</v>
      </c>
      <c r="H65">
        <v>95</v>
      </c>
      <c r="I65" t="s">
        <v>12</v>
      </c>
      <c r="J65" t="s">
        <v>16</v>
      </c>
    </row>
    <row r="66" spans="1:10" x14ac:dyDescent="0.3">
      <c r="A66" t="s">
        <v>26</v>
      </c>
      <c r="B66" t="s">
        <v>25</v>
      </c>
      <c r="C66" t="s">
        <v>11</v>
      </c>
      <c r="D66" s="1">
        <v>45311</v>
      </c>
      <c r="E66">
        <v>40</v>
      </c>
      <c r="F66" s="2">
        <v>95.92</v>
      </c>
      <c r="G66" s="3">
        <v>3836.8</v>
      </c>
      <c r="H66">
        <v>12</v>
      </c>
      <c r="I66" t="s">
        <v>15</v>
      </c>
      <c r="J66" t="s">
        <v>13</v>
      </c>
    </row>
    <row r="67" spans="1:10" x14ac:dyDescent="0.3">
      <c r="A67" t="s">
        <v>26</v>
      </c>
      <c r="B67" t="s">
        <v>14</v>
      </c>
      <c r="C67" t="s">
        <v>23</v>
      </c>
      <c r="D67" s="1">
        <v>45761</v>
      </c>
      <c r="E67">
        <v>16</v>
      </c>
      <c r="F67" s="2">
        <v>43.22</v>
      </c>
      <c r="G67" s="3">
        <v>691.52</v>
      </c>
      <c r="H67">
        <v>7</v>
      </c>
      <c r="I67" t="s">
        <v>15</v>
      </c>
      <c r="J67" t="s">
        <v>13</v>
      </c>
    </row>
    <row r="68" spans="1:10" x14ac:dyDescent="0.3">
      <c r="A68" t="s">
        <v>10</v>
      </c>
      <c r="B68" t="s">
        <v>14</v>
      </c>
      <c r="C68" t="s">
        <v>23</v>
      </c>
      <c r="D68" s="1">
        <v>45296</v>
      </c>
      <c r="E68">
        <v>11</v>
      </c>
      <c r="F68" s="2">
        <v>35.31</v>
      </c>
      <c r="G68" s="3">
        <v>388.41</v>
      </c>
      <c r="H68">
        <v>71</v>
      </c>
      <c r="I68" t="s">
        <v>22</v>
      </c>
      <c r="J68" t="s">
        <v>16</v>
      </c>
    </row>
    <row r="69" spans="1:10" x14ac:dyDescent="0.3">
      <c r="A69" t="s">
        <v>19</v>
      </c>
      <c r="B69" t="s">
        <v>20</v>
      </c>
      <c r="C69" t="s">
        <v>18</v>
      </c>
      <c r="D69" s="1">
        <v>45640</v>
      </c>
      <c r="E69">
        <v>45</v>
      </c>
      <c r="F69" s="2">
        <v>94</v>
      </c>
      <c r="G69" s="3">
        <v>4230</v>
      </c>
      <c r="H69">
        <v>92</v>
      </c>
      <c r="I69" t="s">
        <v>22</v>
      </c>
      <c r="J69" t="s">
        <v>16</v>
      </c>
    </row>
    <row r="70" spans="1:10" x14ac:dyDescent="0.3">
      <c r="B70" t="s">
        <v>25</v>
      </c>
      <c r="C70" t="s">
        <v>18</v>
      </c>
      <c r="D70" s="1">
        <v>45348</v>
      </c>
      <c r="E70">
        <v>22</v>
      </c>
      <c r="F70" s="2">
        <v>15.43</v>
      </c>
      <c r="G70" s="3">
        <v>339.46</v>
      </c>
      <c r="H70">
        <v>45</v>
      </c>
      <c r="I70" t="s">
        <v>15</v>
      </c>
      <c r="J70" t="s">
        <v>13</v>
      </c>
    </row>
    <row r="71" spans="1:10" x14ac:dyDescent="0.3">
      <c r="A71" t="s">
        <v>24</v>
      </c>
      <c r="B71" t="s">
        <v>17</v>
      </c>
      <c r="C71" t="s">
        <v>11</v>
      </c>
      <c r="D71" s="1">
        <v>45801</v>
      </c>
      <c r="E71">
        <v>30</v>
      </c>
      <c r="F71" s="2">
        <v>44.01</v>
      </c>
      <c r="G71" s="3">
        <v>1320.3</v>
      </c>
      <c r="H71">
        <v>63</v>
      </c>
      <c r="I71" t="s">
        <v>15</v>
      </c>
      <c r="J7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5EA1-10F6-46DF-B2E7-2B59ABA605BC}">
  <dimension ref="B4:R25"/>
  <sheetViews>
    <sheetView workbookViewId="0"/>
  </sheetViews>
  <sheetFormatPr defaultRowHeight="14.4" x14ac:dyDescent="0.3"/>
  <cols>
    <col min="2" max="2" width="12.44140625" bestFit="1" customWidth="1"/>
    <col min="3" max="3" width="6.77734375" bestFit="1" customWidth="1"/>
    <col min="4" max="18" width="14.77734375" bestFit="1" customWidth="1"/>
  </cols>
  <sheetData>
    <row r="4" spans="2:18" x14ac:dyDescent="0.3">
      <c r="D4" s="4" t="s">
        <v>0</v>
      </c>
      <c r="E4" s="4" t="s">
        <v>32</v>
      </c>
    </row>
    <row r="5" spans="2:18" x14ac:dyDescent="0.3">
      <c r="D5" t="s">
        <v>26</v>
      </c>
      <c r="G5" t="s">
        <v>19</v>
      </c>
      <c r="J5" t="s">
        <v>24</v>
      </c>
      <c r="M5" t="s">
        <v>10</v>
      </c>
      <c r="P5" t="s">
        <v>30</v>
      </c>
    </row>
    <row r="6" spans="2:18" x14ac:dyDescent="0.3">
      <c r="B6" s="4" t="s">
        <v>1</v>
      </c>
      <c r="C6" s="4" t="s">
        <v>9</v>
      </c>
      <c r="D6" t="s">
        <v>31</v>
      </c>
      <c r="E6" t="s">
        <v>33</v>
      </c>
      <c r="F6" t="s">
        <v>34</v>
      </c>
      <c r="G6" t="s">
        <v>31</v>
      </c>
      <c r="H6" t="s">
        <v>33</v>
      </c>
      <c r="I6" t="s">
        <v>34</v>
      </c>
      <c r="J6" t="s">
        <v>31</v>
      </c>
      <c r="K6" t="s">
        <v>33</v>
      </c>
      <c r="L6" t="s">
        <v>34</v>
      </c>
      <c r="M6" t="s">
        <v>31</v>
      </c>
      <c r="N6" t="s">
        <v>33</v>
      </c>
      <c r="O6" t="s">
        <v>34</v>
      </c>
      <c r="P6" t="s">
        <v>31</v>
      </c>
      <c r="Q6" t="s">
        <v>33</v>
      </c>
      <c r="R6" t="s">
        <v>34</v>
      </c>
    </row>
    <row r="7" spans="2:18" x14ac:dyDescent="0.3">
      <c r="B7" t="s">
        <v>21</v>
      </c>
      <c r="D7" s="7">
        <v>195.5</v>
      </c>
      <c r="E7" s="7">
        <v>19.5</v>
      </c>
      <c r="F7" s="2">
        <v>31.533534354538958</v>
      </c>
      <c r="G7" s="7">
        <v>272.91666666666669</v>
      </c>
      <c r="H7" s="7">
        <v>28.25</v>
      </c>
      <c r="I7" s="2">
        <v>20.964241430349933</v>
      </c>
      <c r="J7" s="7">
        <v>5.3333333333334849</v>
      </c>
      <c r="K7" s="7">
        <v>42.333333333333336</v>
      </c>
      <c r="L7" s="2">
        <v>17.562887639059273</v>
      </c>
      <c r="M7" s="7">
        <v>24.5</v>
      </c>
      <c r="N7" s="7">
        <v>4.5</v>
      </c>
      <c r="O7" s="2">
        <v>21.060000000000009</v>
      </c>
      <c r="P7" s="7"/>
      <c r="Q7" s="7"/>
      <c r="R7" s="2"/>
    </row>
    <row r="8" spans="2:18" x14ac:dyDescent="0.3">
      <c r="C8" t="s">
        <v>13</v>
      </c>
      <c r="D8" s="7">
        <v>91</v>
      </c>
      <c r="E8" s="7">
        <v>24</v>
      </c>
      <c r="F8" s="2">
        <v>28.643792812172524</v>
      </c>
      <c r="G8" s="7" t="e">
        <v>#DIV/0!</v>
      </c>
      <c r="H8" s="7">
        <v>36</v>
      </c>
      <c r="I8" s="2">
        <v>0</v>
      </c>
      <c r="J8" s="7">
        <v>5.3333333333334849</v>
      </c>
      <c r="K8" s="7">
        <v>42.333333333333336</v>
      </c>
      <c r="L8" s="2">
        <v>17.562887639059273</v>
      </c>
      <c r="M8" s="7"/>
      <c r="N8" s="7"/>
      <c r="O8" s="2"/>
      <c r="P8" s="7"/>
      <c r="Q8" s="7"/>
      <c r="R8" s="2"/>
    </row>
    <row r="9" spans="2:18" x14ac:dyDescent="0.3">
      <c r="C9" t="s">
        <v>16</v>
      </c>
      <c r="D9" s="7">
        <v>337</v>
      </c>
      <c r="E9" s="7">
        <v>15</v>
      </c>
      <c r="F9" s="2">
        <v>30.118487493380023</v>
      </c>
      <c r="G9" s="7">
        <v>369.33333333333337</v>
      </c>
      <c r="H9" s="7">
        <v>25.666666666666668</v>
      </c>
      <c r="I9" s="2">
        <v>20.961571718000762</v>
      </c>
      <c r="J9" s="7"/>
      <c r="K9" s="7"/>
      <c r="L9" s="2"/>
      <c r="M9" s="7">
        <v>24.5</v>
      </c>
      <c r="N9" s="7">
        <v>4.5</v>
      </c>
      <c r="O9" s="2">
        <v>21.060000000000009</v>
      </c>
      <c r="P9" s="7"/>
      <c r="Q9" s="7"/>
      <c r="R9" s="2"/>
    </row>
    <row r="10" spans="2:18" x14ac:dyDescent="0.3">
      <c r="B10" t="s">
        <v>20</v>
      </c>
      <c r="D10" s="7">
        <v>9</v>
      </c>
      <c r="E10" s="7">
        <v>34</v>
      </c>
      <c r="F10" s="2">
        <v>16.106174281932965</v>
      </c>
      <c r="G10" s="7">
        <v>472.33333333333337</v>
      </c>
      <c r="H10" s="7">
        <v>21.666666666666668</v>
      </c>
      <c r="I10" s="2">
        <v>25.517970574131148</v>
      </c>
      <c r="J10" s="7" t="e">
        <v>#DIV/0!</v>
      </c>
      <c r="K10" s="7">
        <v>27</v>
      </c>
      <c r="L10" s="2">
        <v>0</v>
      </c>
      <c r="M10" s="7">
        <v>162</v>
      </c>
      <c r="N10" s="7">
        <v>10</v>
      </c>
      <c r="O10" s="2">
        <v>0.85999999999993149</v>
      </c>
      <c r="P10" s="7"/>
      <c r="Q10" s="7"/>
      <c r="R10" s="2"/>
    </row>
    <row r="11" spans="2:18" x14ac:dyDescent="0.3">
      <c r="C11" t="s">
        <v>13</v>
      </c>
      <c r="D11" s="7" t="e">
        <v>#DIV/0!</v>
      </c>
      <c r="E11" s="7">
        <v>37</v>
      </c>
      <c r="F11" s="2">
        <v>19</v>
      </c>
      <c r="G11" s="7">
        <v>128</v>
      </c>
      <c r="H11" s="7">
        <v>10</v>
      </c>
      <c r="I11" s="2">
        <v>27.310000000000009</v>
      </c>
      <c r="J11" s="7" t="e">
        <v>#DIV/0!</v>
      </c>
      <c r="K11" s="7">
        <v>27</v>
      </c>
      <c r="L11" s="2">
        <v>0</v>
      </c>
      <c r="M11" s="7">
        <v>162</v>
      </c>
      <c r="N11" s="7">
        <v>10</v>
      </c>
      <c r="O11" s="2">
        <v>0.85999999999993149</v>
      </c>
      <c r="P11" s="7"/>
      <c r="Q11" s="7"/>
      <c r="R11" s="2"/>
    </row>
    <row r="12" spans="2:18" x14ac:dyDescent="0.3">
      <c r="C12" t="s">
        <v>16</v>
      </c>
      <c r="D12" s="7">
        <v>4.5</v>
      </c>
      <c r="E12" s="7">
        <v>32.5</v>
      </c>
      <c r="F12" s="2">
        <v>11.94999999999999</v>
      </c>
      <c r="G12" s="7" t="e">
        <v>#DIV/0!</v>
      </c>
      <c r="H12" s="7">
        <v>45</v>
      </c>
      <c r="I12" s="2">
        <v>0</v>
      </c>
      <c r="J12" s="7"/>
      <c r="K12" s="7"/>
      <c r="L12" s="2"/>
      <c r="M12" s="7"/>
      <c r="N12" s="7"/>
      <c r="O12" s="2"/>
      <c r="P12" s="7"/>
      <c r="Q12" s="7"/>
      <c r="R12" s="2"/>
    </row>
    <row r="13" spans="2:18" x14ac:dyDescent="0.3">
      <c r="B13" t="s">
        <v>17</v>
      </c>
      <c r="D13" s="7">
        <v>25.666666666666668</v>
      </c>
      <c r="E13" s="7">
        <v>23.5</v>
      </c>
      <c r="F13" s="2">
        <v>29.019399007388138</v>
      </c>
      <c r="G13" s="7">
        <v>112.5</v>
      </c>
      <c r="H13" s="7">
        <v>27.5</v>
      </c>
      <c r="I13" s="2">
        <v>32.950000000000003</v>
      </c>
      <c r="J13" s="7">
        <v>89.333333333333485</v>
      </c>
      <c r="K13" s="7">
        <v>37.333333333333336</v>
      </c>
      <c r="L13" s="2">
        <v>14.302051911837296</v>
      </c>
      <c r="M13" s="7">
        <v>103.33333333333333</v>
      </c>
      <c r="N13" s="7">
        <v>39</v>
      </c>
      <c r="O13" s="2">
        <v>30.82188781937278</v>
      </c>
      <c r="P13" s="7"/>
      <c r="Q13" s="7"/>
      <c r="R13" s="2"/>
    </row>
    <row r="14" spans="2:18" x14ac:dyDescent="0.3">
      <c r="C14" t="s">
        <v>13</v>
      </c>
      <c r="D14" s="7">
        <v>60.5</v>
      </c>
      <c r="E14" s="7">
        <v>21.5</v>
      </c>
      <c r="F14" s="2">
        <v>38.229999999999997</v>
      </c>
      <c r="G14" s="7" t="e">
        <v>#DIV/0!</v>
      </c>
      <c r="H14" s="7">
        <v>20</v>
      </c>
      <c r="I14" s="2">
        <v>0</v>
      </c>
      <c r="J14" s="7">
        <v>8</v>
      </c>
      <c r="K14" s="7">
        <v>32</v>
      </c>
      <c r="L14" s="2">
        <v>11.449999999999989</v>
      </c>
      <c r="M14" s="7">
        <v>154.33333333333348</v>
      </c>
      <c r="N14" s="7">
        <v>39.333333333333336</v>
      </c>
      <c r="O14" s="2">
        <v>33.500618899755665</v>
      </c>
      <c r="P14" s="7"/>
      <c r="Q14" s="7"/>
      <c r="R14" s="2"/>
    </row>
    <row r="15" spans="2:18" x14ac:dyDescent="0.3">
      <c r="C15" t="s">
        <v>16</v>
      </c>
      <c r="D15" s="7">
        <v>0.5</v>
      </c>
      <c r="E15" s="7">
        <v>25.5</v>
      </c>
      <c r="F15" s="2">
        <v>10.125</v>
      </c>
      <c r="G15" s="7" t="e">
        <v>#DIV/0!</v>
      </c>
      <c r="H15" s="7">
        <v>35</v>
      </c>
      <c r="I15" s="2">
        <v>0</v>
      </c>
      <c r="J15" s="7" t="e">
        <v>#DIV/0!</v>
      </c>
      <c r="K15" s="7">
        <v>48</v>
      </c>
      <c r="L15" s="2">
        <v>0</v>
      </c>
      <c r="M15" s="7" t="e">
        <v>#DIV/0!</v>
      </c>
      <c r="N15" s="7">
        <v>38</v>
      </c>
      <c r="O15" s="2">
        <v>0</v>
      </c>
      <c r="P15" s="7"/>
      <c r="Q15" s="7"/>
      <c r="R15" s="2"/>
    </row>
    <row r="16" spans="2:18" x14ac:dyDescent="0.3">
      <c r="B16" t="s">
        <v>3</v>
      </c>
      <c r="D16" s="7">
        <v>252.33333333333326</v>
      </c>
      <c r="E16" s="7">
        <v>28.333333333333332</v>
      </c>
      <c r="F16" s="2">
        <v>19.054586499493144</v>
      </c>
      <c r="G16" s="7">
        <v>60.5</v>
      </c>
      <c r="H16" s="7">
        <v>9.5</v>
      </c>
      <c r="I16" s="2">
        <v>18.399999999999988</v>
      </c>
      <c r="J16" s="7" t="e">
        <v>#DIV/0!</v>
      </c>
      <c r="K16" s="7">
        <v>35</v>
      </c>
      <c r="L16" s="2">
        <v>0</v>
      </c>
      <c r="M16" s="7">
        <v>220.5</v>
      </c>
      <c r="N16" s="7">
        <v>25.5</v>
      </c>
      <c r="O16" s="2">
        <v>5.8999999999999977</v>
      </c>
      <c r="P16" s="7" t="e">
        <v>#DIV/0!</v>
      </c>
      <c r="Q16" s="7">
        <v>26</v>
      </c>
      <c r="R16" s="2">
        <v>0</v>
      </c>
    </row>
    <row r="17" spans="2:18" x14ac:dyDescent="0.3">
      <c r="C17" t="s">
        <v>13</v>
      </c>
      <c r="D17" s="7" t="e">
        <v>#DIV/0!</v>
      </c>
      <c r="E17" s="7">
        <v>10</v>
      </c>
      <c r="F17" s="2">
        <v>0</v>
      </c>
      <c r="G17" s="7" t="e">
        <v>#DIV/0!</v>
      </c>
      <c r="H17" s="7">
        <v>4</v>
      </c>
      <c r="I17" s="2">
        <v>0</v>
      </c>
      <c r="J17" s="7"/>
      <c r="K17" s="7"/>
      <c r="L17" s="2"/>
      <c r="M17" s="7" t="e">
        <v>#DIV/0!</v>
      </c>
      <c r="N17" s="7">
        <v>36</v>
      </c>
      <c r="O17" s="2">
        <v>0</v>
      </c>
      <c r="P17" s="7"/>
      <c r="Q17" s="7"/>
      <c r="R17" s="2"/>
    </row>
    <row r="18" spans="2:18" x14ac:dyDescent="0.3">
      <c r="C18" t="s">
        <v>16</v>
      </c>
      <c r="D18" s="7">
        <v>0.5</v>
      </c>
      <c r="E18" s="7">
        <v>37.5</v>
      </c>
      <c r="F18" s="2">
        <v>19.779999999999987</v>
      </c>
      <c r="G18" s="7" t="e">
        <v>#DIV/0!</v>
      </c>
      <c r="H18" s="7">
        <v>15</v>
      </c>
      <c r="I18" s="2">
        <v>0</v>
      </c>
      <c r="J18" s="7" t="e">
        <v>#DIV/0!</v>
      </c>
      <c r="K18" s="7">
        <v>35</v>
      </c>
      <c r="L18" s="2">
        <v>0</v>
      </c>
      <c r="M18" s="7" t="e">
        <v>#DIV/0!</v>
      </c>
      <c r="N18" s="7">
        <v>15</v>
      </c>
      <c r="O18" s="2">
        <v>0</v>
      </c>
      <c r="P18" s="7" t="e">
        <v>#DIV/0!</v>
      </c>
      <c r="Q18" s="7">
        <v>26</v>
      </c>
      <c r="R18" s="2">
        <v>0</v>
      </c>
    </row>
    <row r="19" spans="2:18" x14ac:dyDescent="0.3">
      <c r="B19" t="s">
        <v>14</v>
      </c>
      <c r="D19" s="7" t="e">
        <v>#DIV/0!</v>
      </c>
      <c r="E19" s="7">
        <v>16</v>
      </c>
      <c r="F19" s="2">
        <v>0</v>
      </c>
      <c r="G19" s="7">
        <v>212.33333333333337</v>
      </c>
      <c r="H19" s="7">
        <v>24.666666666666668</v>
      </c>
      <c r="I19" s="2">
        <v>15.217689268304397</v>
      </c>
      <c r="J19" s="7">
        <v>112.5</v>
      </c>
      <c r="K19" s="7">
        <v>38.5</v>
      </c>
      <c r="L19" s="2">
        <v>11.384999999999998</v>
      </c>
      <c r="M19" s="7">
        <v>49</v>
      </c>
      <c r="N19" s="7">
        <v>19</v>
      </c>
      <c r="O19" s="2">
        <v>25.932986715764159</v>
      </c>
      <c r="P19" s="7" t="e">
        <v>#DIV/0!</v>
      </c>
      <c r="Q19" s="7">
        <v>47</v>
      </c>
      <c r="R19" s="2">
        <v>0</v>
      </c>
    </row>
    <row r="20" spans="2:18" x14ac:dyDescent="0.3">
      <c r="C20" t="s">
        <v>13</v>
      </c>
      <c r="D20" s="7" t="e">
        <v>#DIV/0!</v>
      </c>
      <c r="E20" s="7">
        <v>16</v>
      </c>
      <c r="F20" s="2">
        <v>0</v>
      </c>
      <c r="G20" s="7" t="e">
        <v>#DIV/0!</v>
      </c>
      <c r="H20" s="7">
        <v>35</v>
      </c>
      <c r="I20" s="2">
        <v>0</v>
      </c>
      <c r="J20" s="7"/>
      <c r="K20" s="7"/>
      <c r="L20" s="2"/>
      <c r="M20" s="7" t="e">
        <v>#DIV/0!</v>
      </c>
      <c r="N20" s="7">
        <v>22</v>
      </c>
      <c r="O20" s="2">
        <v>0</v>
      </c>
      <c r="P20" s="7"/>
      <c r="Q20" s="7"/>
      <c r="R20" s="2"/>
    </row>
    <row r="21" spans="2:18" x14ac:dyDescent="0.3">
      <c r="C21" t="s">
        <v>16</v>
      </c>
      <c r="D21" s="7"/>
      <c r="E21" s="7"/>
      <c r="F21" s="2"/>
      <c r="G21" s="7">
        <v>264.5</v>
      </c>
      <c r="H21" s="7">
        <v>19.5</v>
      </c>
      <c r="I21" s="2">
        <v>13.58</v>
      </c>
      <c r="J21" s="7">
        <v>112.5</v>
      </c>
      <c r="K21" s="7">
        <v>38.5</v>
      </c>
      <c r="L21" s="2">
        <v>11.384999999999998</v>
      </c>
      <c r="M21" s="7">
        <v>84.5</v>
      </c>
      <c r="N21" s="7">
        <v>17.5</v>
      </c>
      <c r="O21" s="2">
        <v>9.4049999999999763</v>
      </c>
      <c r="P21" s="7" t="e">
        <v>#DIV/0!</v>
      </c>
      <c r="Q21" s="7">
        <v>47</v>
      </c>
      <c r="R21" s="2">
        <v>0</v>
      </c>
    </row>
    <row r="22" spans="2:18" x14ac:dyDescent="0.3">
      <c r="B22" t="s">
        <v>25</v>
      </c>
      <c r="D22" s="7">
        <v>0.5</v>
      </c>
      <c r="E22" s="7">
        <v>39.5</v>
      </c>
      <c r="F22" s="2">
        <v>45.489999999999995</v>
      </c>
      <c r="G22" s="7">
        <v>41.333333333333258</v>
      </c>
      <c r="H22" s="7">
        <v>34.333333333333336</v>
      </c>
      <c r="I22" s="2">
        <v>17.225735268938603</v>
      </c>
      <c r="J22" s="7">
        <v>578</v>
      </c>
      <c r="K22" s="7">
        <v>20</v>
      </c>
      <c r="L22" s="2">
        <v>24.139999999999993</v>
      </c>
      <c r="M22" s="7">
        <v>140.29999999999995</v>
      </c>
      <c r="N22" s="7">
        <v>32.4</v>
      </c>
      <c r="O22" s="2">
        <v>8.3827370231923251</v>
      </c>
      <c r="P22" s="7" t="e">
        <v>#DIV/0!</v>
      </c>
      <c r="Q22" s="7">
        <v>22</v>
      </c>
      <c r="R22" s="2">
        <v>0</v>
      </c>
    </row>
    <row r="23" spans="2:18" x14ac:dyDescent="0.3">
      <c r="C23" t="s">
        <v>13</v>
      </c>
      <c r="D23" s="7">
        <v>0.5</v>
      </c>
      <c r="E23" s="7">
        <v>39.5</v>
      </c>
      <c r="F23" s="2">
        <v>45.489999999999995</v>
      </c>
      <c r="G23" s="7" t="e">
        <v>#DIV/0!</v>
      </c>
      <c r="H23" s="7">
        <v>27</v>
      </c>
      <c r="I23" s="2">
        <v>0</v>
      </c>
      <c r="J23" s="7"/>
      <c r="K23" s="7"/>
      <c r="L23" s="2"/>
      <c r="M23" s="7">
        <v>48</v>
      </c>
      <c r="N23" s="7">
        <v>40</v>
      </c>
      <c r="O23" s="2">
        <v>9.4513949587701784</v>
      </c>
      <c r="P23" s="7" t="e">
        <v>#DIV/0!</v>
      </c>
      <c r="Q23" s="7">
        <v>22</v>
      </c>
      <c r="R23" s="2">
        <v>0</v>
      </c>
    </row>
    <row r="24" spans="2:18" x14ac:dyDescent="0.3">
      <c r="C24" t="s">
        <v>16</v>
      </c>
      <c r="D24" s="7"/>
      <c r="E24" s="7"/>
      <c r="F24" s="2"/>
      <c r="G24" s="7">
        <v>2</v>
      </c>
      <c r="H24" s="7">
        <v>38</v>
      </c>
      <c r="I24" s="2">
        <v>19.380000000000006</v>
      </c>
      <c r="J24" s="7">
        <v>578</v>
      </c>
      <c r="K24" s="7">
        <v>20</v>
      </c>
      <c r="L24" s="2">
        <v>24.139999999999993</v>
      </c>
      <c r="M24" s="7">
        <v>32</v>
      </c>
      <c r="N24" s="7">
        <v>21</v>
      </c>
      <c r="O24" s="2">
        <v>2.1699999999999147</v>
      </c>
      <c r="P24" s="7"/>
      <c r="Q24" s="7"/>
      <c r="R24" s="2"/>
    </row>
    <row r="25" spans="2:18" x14ac:dyDescent="0.3">
      <c r="B25" t="s">
        <v>28</v>
      </c>
      <c r="D25" s="7">
        <v>140.49707602339186</v>
      </c>
      <c r="E25" s="7">
        <v>25.94736842105263</v>
      </c>
      <c r="F25" s="2">
        <v>32.23484223631317</v>
      </c>
      <c r="G25" s="7">
        <v>204.56617647058829</v>
      </c>
      <c r="H25" s="7">
        <v>25.235294117647058</v>
      </c>
      <c r="I25" s="2">
        <v>30.612132689835068</v>
      </c>
      <c r="J25" s="7">
        <v>145.06060606060601</v>
      </c>
      <c r="K25" s="7">
        <v>34.833333333333336</v>
      </c>
      <c r="L25" s="2">
        <v>24.796266632073625</v>
      </c>
      <c r="M25" s="7">
        <v>225.38888888888891</v>
      </c>
      <c r="N25" s="7">
        <v>25.277777777777779</v>
      </c>
      <c r="O25" s="2">
        <v>26.803898192862427</v>
      </c>
      <c r="P25" s="7">
        <v>180.33333333333326</v>
      </c>
      <c r="Q25" s="7">
        <v>31.666666666666668</v>
      </c>
      <c r="R25" s="2">
        <v>33.160691924157568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3B72-6C02-41CD-BDBE-F52BAB2EF5AB}">
  <dimension ref="B4:H10"/>
  <sheetViews>
    <sheetView workbookViewId="0"/>
  </sheetViews>
  <sheetFormatPr defaultRowHeight="14.4" x14ac:dyDescent="0.3"/>
  <cols>
    <col min="2" max="2" width="12.44140625" bestFit="1" customWidth="1"/>
    <col min="3" max="3" width="16.88671875" bestFit="1" customWidth="1"/>
    <col min="4" max="4" width="12.44140625" bestFit="1" customWidth="1"/>
    <col min="5" max="5" width="16.88671875" bestFit="1" customWidth="1"/>
    <col min="6" max="6" width="12.44140625" bestFit="1" customWidth="1"/>
    <col min="7" max="7" width="16.88671875" bestFit="1" customWidth="1"/>
    <col min="8" max="8" width="12.44140625" bestFit="1" customWidth="1"/>
  </cols>
  <sheetData>
    <row r="4" spans="2:8" x14ac:dyDescent="0.3">
      <c r="C4" s="4" t="s">
        <v>29</v>
      </c>
    </row>
    <row r="5" spans="2:8" x14ac:dyDescent="0.3">
      <c r="C5" t="s">
        <v>11</v>
      </c>
      <c r="E5" t="s">
        <v>18</v>
      </c>
      <c r="G5" t="s">
        <v>23</v>
      </c>
    </row>
    <row r="6" spans="2:8" x14ac:dyDescent="0.3">
      <c r="B6" s="4" t="s">
        <v>27</v>
      </c>
      <c r="C6" t="s">
        <v>35</v>
      </c>
      <c r="D6" t="s">
        <v>36</v>
      </c>
      <c r="E6" t="s">
        <v>35</v>
      </c>
      <c r="F6" t="s">
        <v>36</v>
      </c>
      <c r="G6" t="s">
        <v>35</v>
      </c>
      <c r="H6" t="s">
        <v>36</v>
      </c>
    </row>
    <row r="7" spans="2:8" x14ac:dyDescent="0.3">
      <c r="B7" s="5" t="s">
        <v>15</v>
      </c>
      <c r="C7" s="7">
        <v>2.684102718401606E+33</v>
      </c>
      <c r="D7" s="7">
        <v>11</v>
      </c>
      <c r="E7" s="7">
        <v>8.817822994757689E+22</v>
      </c>
      <c r="F7" s="7">
        <v>8</v>
      </c>
      <c r="G7" s="7">
        <v>2.1215858669676257E+29</v>
      </c>
      <c r="H7" s="7">
        <v>10</v>
      </c>
    </row>
    <row r="8" spans="2:8" x14ac:dyDescent="0.3">
      <c r="B8" s="5" t="s">
        <v>12</v>
      </c>
      <c r="C8" s="7">
        <v>5.2469288697290853E+26</v>
      </c>
      <c r="D8" s="7">
        <v>9</v>
      </c>
      <c r="E8" s="7">
        <v>1.713593104156604E+26</v>
      </c>
      <c r="F8" s="7">
        <v>10</v>
      </c>
      <c r="G8" s="7">
        <v>1.2693712494693513E+21</v>
      </c>
      <c r="H8" s="7">
        <v>7</v>
      </c>
    </row>
    <row r="9" spans="2:8" x14ac:dyDescent="0.3">
      <c r="B9" s="5" t="s">
        <v>22</v>
      </c>
      <c r="C9" s="7">
        <v>59323919712.132072</v>
      </c>
      <c r="D9" s="7">
        <v>4</v>
      </c>
      <c r="E9" s="7">
        <v>3.3678107120941843E+17</v>
      </c>
      <c r="F9" s="7">
        <v>6</v>
      </c>
      <c r="G9" s="7">
        <v>303688080647.65088</v>
      </c>
      <c r="H9" s="7">
        <v>4</v>
      </c>
    </row>
    <row r="10" spans="2:8" x14ac:dyDescent="0.3">
      <c r="B10" s="5" t="s">
        <v>28</v>
      </c>
      <c r="C10" s="7">
        <v>8.3547632370743978E+70</v>
      </c>
      <c r="D10" s="7">
        <v>24</v>
      </c>
      <c r="E10" s="7">
        <v>5.0888160991116204E+66</v>
      </c>
      <c r="F10" s="7">
        <v>24</v>
      </c>
      <c r="G10" s="7">
        <v>8.1785632745250781E+61</v>
      </c>
      <c r="H10" s="7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F176-3919-46E9-9949-B4C7DC6659B0}">
  <dimension ref="B4:I6"/>
  <sheetViews>
    <sheetView workbookViewId="0"/>
  </sheetViews>
  <sheetFormatPr defaultRowHeight="14.4" x14ac:dyDescent="0.3"/>
  <cols>
    <col min="2" max="2" width="17.5546875" bestFit="1" customWidth="1"/>
    <col min="3" max="3" width="15.5546875" bestFit="1" customWidth="1"/>
    <col min="4" max="9" width="12" bestFit="1" customWidth="1"/>
  </cols>
  <sheetData>
    <row r="4" spans="2:9" x14ac:dyDescent="0.3">
      <c r="C4" s="4" t="s">
        <v>29</v>
      </c>
    </row>
    <row r="5" spans="2:9" x14ac:dyDescent="0.3">
      <c r="C5" t="s">
        <v>21</v>
      </c>
      <c r="D5" t="s">
        <v>20</v>
      </c>
      <c r="E5" t="s">
        <v>17</v>
      </c>
      <c r="F5" t="s">
        <v>3</v>
      </c>
      <c r="G5" t="s">
        <v>14</v>
      </c>
      <c r="H5" t="s">
        <v>25</v>
      </c>
      <c r="I5" t="s">
        <v>28</v>
      </c>
    </row>
    <row r="6" spans="2:9" x14ac:dyDescent="0.3">
      <c r="B6" t="s">
        <v>37</v>
      </c>
      <c r="C6" s="7">
        <v>1299.5390993623685</v>
      </c>
      <c r="D6" s="7">
        <v>1354.2086648539191</v>
      </c>
      <c r="E6" s="7">
        <v>927.06655674972308</v>
      </c>
      <c r="F6" s="7">
        <v>1104.3783180841253</v>
      </c>
      <c r="G6" s="7">
        <v>1087.7875933604869</v>
      </c>
      <c r="H6" s="7">
        <v>1204.8902153234746</v>
      </c>
      <c r="I6" s="7">
        <v>1207.971643934161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F808-27E8-4E03-834B-04C6AF1BAF45}">
  <dimension ref="B4:M7"/>
  <sheetViews>
    <sheetView workbookViewId="0"/>
  </sheetViews>
  <sheetFormatPr defaultRowHeight="14.4" x14ac:dyDescent="0.3"/>
  <cols>
    <col min="2" max="10" width="14.6640625" bestFit="1" customWidth="1"/>
    <col min="11" max="11" width="18.21875" bestFit="1" customWidth="1"/>
    <col min="12" max="12" width="19.21875" bestFit="1" customWidth="1"/>
    <col min="13" max="13" width="15.88671875" bestFit="1" customWidth="1"/>
  </cols>
  <sheetData>
    <row r="4" spans="2:13" x14ac:dyDescent="0.3">
      <c r="B4" s="4" t="s">
        <v>2</v>
      </c>
      <c r="C4" s="4" t="s">
        <v>32</v>
      </c>
    </row>
    <row r="5" spans="2:13" x14ac:dyDescent="0.3">
      <c r="B5" t="s">
        <v>11</v>
      </c>
      <c r="E5" t="s">
        <v>18</v>
      </c>
      <c r="H5" t="s">
        <v>23</v>
      </c>
      <c r="K5" t="s">
        <v>39</v>
      </c>
      <c r="L5" t="s">
        <v>40</v>
      </c>
      <c r="M5" t="s">
        <v>42</v>
      </c>
    </row>
    <row r="6" spans="2:13" x14ac:dyDescent="0.3">
      <c r="B6" t="s">
        <v>38</v>
      </c>
      <c r="C6" t="s">
        <v>41</v>
      </c>
      <c r="D6" t="s">
        <v>43</v>
      </c>
      <c r="E6" t="s">
        <v>38</v>
      </c>
      <c r="F6" t="s">
        <v>41</v>
      </c>
      <c r="G6" t="s">
        <v>43</v>
      </c>
      <c r="H6" t="s">
        <v>38</v>
      </c>
      <c r="I6" t="s">
        <v>41</v>
      </c>
      <c r="J6" t="s">
        <v>43</v>
      </c>
    </row>
    <row r="7" spans="2:13" x14ac:dyDescent="0.3">
      <c r="B7" s="7">
        <v>3985.6</v>
      </c>
      <c r="C7" s="7">
        <v>52.2</v>
      </c>
      <c r="D7" s="2">
        <v>1208.2</v>
      </c>
      <c r="E7" s="7">
        <v>4230</v>
      </c>
      <c r="F7" s="7">
        <v>49.833333333333336</v>
      </c>
      <c r="G7" s="2">
        <v>1276.4100000000001</v>
      </c>
      <c r="H7" s="7">
        <v>3489.12</v>
      </c>
      <c r="I7" s="7">
        <v>49.761904761904759</v>
      </c>
      <c r="J7" s="2">
        <v>998.42000000000007</v>
      </c>
      <c r="K7" s="7">
        <v>4230</v>
      </c>
      <c r="L7" s="7">
        <v>50.657142857142858</v>
      </c>
      <c r="M7" s="2">
        <v>3483.0299999999997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80F2-EA03-444E-A557-B36550827372}">
  <dimension ref="B4:O28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12" width="16.88671875" bestFit="1" customWidth="1"/>
    <col min="13" max="13" width="19.21875" bestFit="1" customWidth="1"/>
    <col min="14" max="14" width="15.44140625" bestFit="1" customWidth="1"/>
    <col min="15" max="15" width="21.5546875" bestFit="1" customWidth="1"/>
  </cols>
  <sheetData>
    <row r="4" spans="2:15" x14ac:dyDescent="0.3">
      <c r="D4" s="4" t="s">
        <v>8</v>
      </c>
      <c r="E4" s="4" t="s">
        <v>32</v>
      </c>
    </row>
    <row r="5" spans="2:15" x14ac:dyDescent="0.3">
      <c r="D5" t="s">
        <v>15</v>
      </c>
      <c r="G5" t="s">
        <v>12</v>
      </c>
      <c r="J5" t="s">
        <v>22</v>
      </c>
      <c r="M5" t="s">
        <v>48</v>
      </c>
      <c r="N5" t="s">
        <v>49</v>
      </c>
      <c r="O5" t="s">
        <v>51</v>
      </c>
    </row>
    <row r="6" spans="2:15" x14ac:dyDescent="0.3">
      <c r="B6" s="4" t="s">
        <v>2</v>
      </c>
      <c r="C6" s="4" t="s">
        <v>1</v>
      </c>
      <c r="D6" t="s">
        <v>47</v>
      </c>
      <c r="E6" t="s">
        <v>50</v>
      </c>
      <c r="F6" t="s">
        <v>35</v>
      </c>
      <c r="G6" t="s">
        <v>47</v>
      </c>
      <c r="H6" t="s">
        <v>50</v>
      </c>
      <c r="I6" t="s">
        <v>35</v>
      </c>
      <c r="J6" t="s">
        <v>47</v>
      </c>
      <c r="K6" t="s">
        <v>50</v>
      </c>
      <c r="L6" t="s">
        <v>35</v>
      </c>
    </row>
    <row r="7" spans="2:15" x14ac:dyDescent="0.3">
      <c r="B7" t="s">
        <v>11</v>
      </c>
      <c r="C7" t="s">
        <v>25</v>
      </c>
      <c r="D7" s="7">
        <v>3240</v>
      </c>
      <c r="E7" s="2">
        <v>95.92</v>
      </c>
      <c r="F7" s="7">
        <v>630238009.45248008</v>
      </c>
      <c r="G7" s="7"/>
      <c r="H7" s="2"/>
      <c r="I7" s="7"/>
      <c r="J7" s="7">
        <v>344</v>
      </c>
      <c r="K7" s="2">
        <v>54.79</v>
      </c>
      <c r="L7" s="7">
        <v>263896.03499999997</v>
      </c>
      <c r="M7" s="7">
        <v>1114560</v>
      </c>
      <c r="N7" s="2">
        <v>95.92</v>
      </c>
      <c r="O7" s="7">
        <v>166317311800802</v>
      </c>
    </row>
    <row r="8" spans="2:15" x14ac:dyDescent="0.3">
      <c r="C8" t="s">
        <v>14</v>
      </c>
      <c r="D8" s="7">
        <v>20878</v>
      </c>
      <c r="E8" s="2">
        <v>84.8</v>
      </c>
      <c r="F8" s="7">
        <v>5732498507.7696009</v>
      </c>
      <c r="G8" s="7">
        <v>96</v>
      </c>
      <c r="H8" s="2">
        <v>29.26</v>
      </c>
      <c r="I8" s="7">
        <v>234.08</v>
      </c>
      <c r="J8" s="7"/>
      <c r="K8" s="2"/>
      <c r="L8" s="7"/>
      <c r="M8" s="7">
        <v>2004288</v>
      </c>
      <c r="N8" s="2">
        <v>84.8</v>
      </c>
      <c r="O8" s="7">
        <v>1341863250698.7083</v>
      </c>
    </row>
    <row r="9" spans="2:15" x14ac:dyDescent="0.3">
      <c r="C9" t="s">
        <v>3</v>
      </c>
      <c r="D9" s="7"/>
      <c r="E9" s="2"/>
      <c r="F9" s="7"/>
      <c r="G9" s="7">
        <v>378882</v>
      </c>
      <c r="H9" s="2">
        <v>61.67</v>
      </c>
      <c r="I9" s="7">
        <v>1247925025.0807199</v>
      </c>
      <c r="J9" s="7"/>
      <c r="K9" s="2"/>
      <c r="L9" s="7"/>
      <c r="M9" s="7">
        <v>378882</v>
      </c>
      <c r="N9" s="2">
        <v>61.67</v>
      </c>
      <c r="O9" s="7">
        <v>1247925025.0807199</v>
      </c>
    </row>
    <row r="10" spans="2:15" x14ac:dyDescent="0.3">
      <c r="C10" t="s">
        <v>17</v>
      </c>
      <c r="D10" s="7">
        <v>1134</v>
      </c>
      <c r="E10" s="2">
        <v>44.01</v>
      </c>
      <c r="F10" s="7">
        <v>608394.23999999999</v>
      </c>
      <c r="G10" s="7">
        <v>42</v>
      </c>
      <c r="H10" s="2">
        <v>86.34</v>
      </c>
      <c r="I10" s="7">
        <v>1726.8</v>
      </c>
      <c r="J10" s="7"/>
      <c r="K10" s="2"/>
      <c r="L10" s="7"/>
      <c r="M10" s="7">
        <v>47628</v>
      </c>
      <c r="N10" s="2">
        <v>86.34</v>
      </c>
      <c r="O10" s="7">
        <v>1050575173.632</v>
      </c>
    </row>
    <row r="11" spans="2:15" x14ac:dyDescent="0.3">
      <c r="C11" t="s">
        <v>20</v>
      </c>
      <c r="D11" s="7">
        <v>20</v>
      </c>
      <c r="E11" s="2">
        <v>62.7</v>
      </c>
      <c r="F11" s="7">
        <v>1191.3</v>
      </c>
      <c r="G11" s="7">
        <v>1848</v>
      </c>
      <c r="H11" s="2">
        <v>92.96</v>
      </c>
      <c r="I11" s="7">
        <v>6069789.7344000004</v>
      </c>
      <c r="J11" s="7">
        <v>7998</v>
      </c>
      <c r="K11" s="2">
        <v>54.96</v>
      </c>
      <c r="L11" s="7">
        <v>80.739999999999995</v>
      </c>
      <c r="M11" s="7">
        <v>295606080</v>
      </c>
      <c r="N11" s="2">
        <v>92.96</v>
      </c>
      <c r="O11" s="7">
        <v>583826136825.09473</v>
      </c>
    </row>
    <row r="12" spans="2:15" x14ac:dyDescent="0.3">
      <c r="C12" t="s">
        <v>21</v>
      </c>
      <c r="D12" s="7">
        <v>6853</v>
      </c>
      <c r="E12" s="2">
        <v>84.03</v>
      </c>
      <c r="F12" s="7">
        <v>1025048.358</v>
      </c>
      <c r="G12" s="7">
        <v>4331</v>
      </c>
      <c r="H12" s="2">
        <v>46.51</v>
      </c>
      <c r="I12" s="7">
        <v>171370.74599999998</v>
      </c>
      <c r="J12" s="7">
        <v>41</v>
      </c>
      <c r="K12" s="2">
        <v>64.75</v>
      </c>
      <c r="L12" s="7">
        <v>2784.25</v>
      </c>
      <c r="M12" s="7">
        <v>1216894063</v>
      </c>
      <c r="N12" s="2">
        <v>84.03</v>
      </c>
      <c r="O12" s="7">
        <v>489090548027002.69</v>
      </c>
    </row>
    <row r="13" spans="2:15" x14ac:dyDescent="0.3">
      <c r="B13" t="s">
        <v>44</v>
      </c>
      <c r="D13" s="7">
        <v>1.05137509565088E+16</v>
      </c>
      <c r="E13" s="2">
        <v>95.92</v>
      </c>
      <c r="F13" s="7">
        <v>2.6841027184016066E+33</v>
      </c>
      <c r="G13" s="7">
        <v>1.2226851773402112E+16</v>
      </c>
      <c r="H13" s="2">
        <v>92.96</v>
      </c>
      <c r="I13" s="7">
        <v>5.2469288697290846E+26</v>
      </c>
      <c r="J13" s="7">
        <v>112803792</v>
      </c>
      <c r="K13" s="2">
        <v>64.75</v>
      </c>
      <c r="L13" s="7">
        <v>59323919712.132057</v>
      </c>
      <c r="M13" s="7">
        <v>1.4500935868606917E+40</v>
      </c>
      <c r="N13" s="2">
        <v>95.92</v>
      </c>
      <c r="O13" s="7">
        <v>8.3547632370743978E+70</v>
      </c>
    </row>
    <row r="14" spans="2:15" x14ac:dyDescent="0.3">
      <c r="B14" t="s">
        <v>18</v>
      </c>
      <c r="C14" t="s">
        <v>25</v>
      </c>
      <c r="D14" s="7">
        <v>45</v>
      </c>
      <c r="E14" s="2">
        <v>15.43</v>
      </c>
      <c r="F14" s="7">
        <v>339.46</v>
      </c>
      <c r="G14" s="7">
        <v>295</v>
      </c>
      <c r="H14" s="2">
        <v>51.52</v>
      </c>
      <c r="I14" s="7">
        <v>95480.9856</v>
      </c>
      <c r="J14" s="7">
        <v>91</v>
      </c>
      <c r="K14" s="2">
        <v>38.01</v>
      </c>
      <c r="L14" s="7">
        <v>1026.27</v>
      </c>
      <c r="M14" s="7">
        <v>1208025</v>
      </c>
      <c r="N14" s="2">
        <v>51.52</v>
      </c>
      <c r="O14" s="7">
        <v>33263437964.792549</v>
      </c>
    </row>
    <row r="15" spans="2:15" x14ac:dyDescent="0.3">
      <c r="C15" t="s">
        <v>14</v>
      </c>
      <c r="D15" s="7"/>
      <c r="E15" s="2"/>
      <c r="F15" s="7"/>
      <c r="G15" s="7">
        <v>31</v>
      </c>
      <c r="H15" s="2">
        <v>2.1</v>
      </c>
      <c r="I15" s="7">
        <v>65.099999999999994</v>
      </c>
      <c r="J15" s="7">
        <v>90</v>
      </c>
      <c r="K15" s="2">
        <v>97.26</v>
      </c>
      <c r="L15" s="7">
        <v>2139.7199999999998</v>
      </c>
      <c r="M15" s="7">
        <v>2790</v>
      </c>
      <c r="N15" s="2">
        <v>97.26</v>
      </c>
      <c r="O15" s="7">
        <v>139295.77199999997</v>
      </c>
    </row>
    <row r="16" spans="2:15" x14ac:dyDescent="0.3">
      <c r="C16" t="s">
        <v>3</v>
      </c>
      <c r="D16" s="7"/>
      <c r="E16" s="2"/>
      <c r="F16" s="7"/>
      <c r="G16" s="7">
        <v>52</v>
      </c>
      <c r="H16" s="2">
        <v>13.52</v>
      </c>
      <c r="I16" s="7">
        <v>351.52</v>
      </c>
      <c r="J16" s="7">
        <v>29</v>
      </c>
      <c r="K16" s="2">
        <v>95.92</v>
      </c>
      <c r="L16" s="7">
        <v>3644.96</v>
      </c>
      <c r="M16" s="7">
        <v>1508</v>
      </c>
      <c r="N16" s="2">
        <v>95.92</v>
      </c>
      <c r="O16" s="7">
        <v>1281276.3392</v>
      </c>
    </row>
    <row r="17" spans="2:15" x14ac:dyDescent="0.3">
      <c r="C17" t="s">
        <v>17</v>
      </c>
      <c r="D17" s="7">
        <v>2880</v>
      </c>
      <c r="E17" s="2">
        <v>50.96</v>
      </c>
      <c r="F17" s="7">
        <v>1017238.04</v>
      </c>
      <c r="G17" s="7">
        <v>63840</v>
      </c>
      <c r="H17" s="2">
        <v>83.69</v>
      </c>
      <c r="I17" s="7">
        <v>1021864839.61023</v>
      </c>
      <c r="J17" s="7"/>
      <c r="K17" s="2"/>
      <c r="L17" s="7"/>
      <c r="M17" s="7">
        <v>183859200</v>
      </c>
      <c r="N17" s="2">
        <v>83.69</v>
      </c>
      <c r="O17" s="7">
        <v>1039479786590024.6</v>
      </c>
    </row>
    <row r="18" spans="2:15" x14ac:dyDescent="0.3">
      <c r="C18" t="s">
        <v>20</v>
      </c>
      <c r="D18" s="7">
        <v>2750</v>
      </c>
      <c r="E18" s="2">
        <v>94.99</v>
      </c>
      <c r="F18" s="7">
        <v>5312855.2932000002</v>
      </c>
      <c r="G18" s="7">
        <v>75</v>
      </c>
      <c r="H18" s="2">
        <v>60.98</v>
      </c>
      <c r="I18" s="7">
        <v>60.98</v>
      </c>
      <c r="J18" s="7">
        <v>92</v>
      </c>
      <c r="K18" s="2">
        <v>94</v>
      </c>
      <c r="L18" s="7">
        <v>4230</v>
      </c>
      <c r="M18" s="7">
        <v>18975000</v>
      </c>
      <c r="N18" s="2">
        <v>94.99</v>
      </c>
      <c r="O18" s="7">
        <v>1370426583746.5911</v>
      </c>
    </row>
    <row r="19" spans="2:15" x14ac:dyDescent="0.3">
      <c r="C19" t="s">
        <v>21</v>
      </c>
      <c r="D19" s="7">
        <v>658</v>
      </c>
      <c r="E19" s="2">
        <v>88.71</v>
      </c>
      <c r="F19" s="7">
        <v>48064252.254270002</v>
      </c>
      <c r="G19" s="7">
        <v>912</v>
      </c>
      <c r="H19" s="2">
        <v>63.56</v>
      </c>
      <c r="I19" s="7">
        <v>1258574.4416</v>
      </c>
      <c r="J19" s="7">
        <v>4268</v>
      </c>
      <c r="K19" s="2">
        <v>92.79</v>
      </c>
      <c r="L19" s="7">
        <v>9947.0879999999997</v>
      </c>
      <c r="M19" s="7">
        <v>2561209728</v>
      </c>
      <c r="N19" s="2">
        <v>92.79</v>
      </c>
      <c r="O19" s="7">
        <v>6.0172361846264755E+17</v>
      </c>
    </row>
    <row r="20" spans="2:15" x14ac:dyDescent="0.3">
      <c r="B20" t="s">
        <v>45</v>
      </c>
      <c r="D20" s="7">
        <v>234511200000</v>
      </c>
      <c r="E20" s="2">
        <v>94.99</v>
      </c>
      <c r="F20" s="7">
        <v>8.8178229947576873E+22</v>
      </c>
      <c r="G20" s="7">
        <v>2076519594240000</v>
      </c>
      <c r="H20" s="2">
        <v>83.69</v>
      </c>
      <c r="I20" s="7">
        <v>1.7135931041566046E+26</v>
      </c>
      <c r="J20" s="7">
        <v>93259726560</v>
      </c>
      <c r="K20" s="2">
        <v>97.26</v>
      </c>
      <c r="L20" s="7">
        <v>3.3678107120941856E+17</v>
      </c>
      <c r="M20" s="7">
        <v>4.5414418763993937E+37</v>
      </c>
      <c r="N20" s="2">
        <v>97.26</v>
      </c>
      <c r="O20" s="7">
        <v>5.0888160991116189E+66</v>
      </c>
    </row>
    <row r="21" spans="2:15" x14ac:dyDescent="0.3">
      <c r="B21" t="s">
        <v>23</v>
      </c>
      <c r="C21" t="s">
        <v>25</v>
      </c>
      <c r="D21" s="7">
        <v>726</v>
      </c>
      <c r="E21" s="2">
        <v>70.22</v>
      </c>
      <c r="F21" s="7">
        <v>4017244.0680000004</v>
      </c>
      <c r="G21" s="7"/>
      <c r="H21" s="2"/>
      <c r="I21" s="7"/>
      <c r="J21" s="7">
        <v>5655</v>
      </c>
      <c r="K21" s="2">
        <v>72.69</v>
      </c>
      <c r="L21" s="7">
        <v>8448136.4736000001</v>
      </c>
      <c r="M21" s="7">
        <v>4105530</v>
      </c>
      <c r="N21" s="2">
        <v>72.69</v>
      </c>
      <c r="O21" s="7">
        <v>33938226134224.043</v>
      </c>
    </row>
    <row r="22" spans="2:15" x14ac:dyDescent="0.3">
      <c r="C22" t="s">
        <v>14</v>
      </c>
      <c r="D22" s="7">
        <v>7</v>
      </c>
      <c r="E22" s="2">
        <v>43.22</v>
      </c>
      <c r="F22" s="7">
        <v>691.52</v>
      </c>
      <c r="G22" s="7">
        <v>690</v>
      </c>
      <c r="H22" s="2">
        <v>54.12</v>
      </c>
      <c r="I22" s="7">
        <v>1868711.6448000001</v>
      </c>
      <c r="J22" s="7">
        <v>71</v>
      </c>
      <c r="K22" s="2">
        <v>35.31</v>
      </c>
      <c r="L22" s="7">
        <v>388.41</v>
      </c>
      <c r="M22" s="7">
        <v>342930</v>
      </c>
      <c r="N22" s="2">
        <v>54.12</v>
      </c>
      <c r="O22" s="7">
        <v>501923396030.9043</v>
      </c>
    </row>
    <row r="23" spans="2:15" x14ac:dyDescent="0.3">
      <c r="C23" t="s">
        <v>3</v>
      </c>
      <c r="D23" s="7">
        <v>840</v>
      </c>
      <c r="E23" s="2">
        <v>97.59</v>
      </c>
      <c r="F23" s="7">
        <v>97082.532000000007</v>
      </c>
      <c r="G23" s="7">
        <v>34</v>
      </c>
      <c r="H23" s="2">
        <v>6.12</v>
      </c>
      <c r="I23" s="7">
        <v>214.2</v>
      </c>
      <c r="J23" s="7">
        <v>55</v>
      </c>
      <c r="K23" s="2">
        <v>6.17</v>
      </c>
      <c r="L23" s="7">
        <v>92.55</v>
      </c>
      <c r="M23" s="7">
        <v>1570800</v>
      </c>
      <c r="N23" s="2">
        <v>97.59</v>
      </c>
      <c r="O23" s="7">
        <v>1924584501.6997201</v>
      </c>
    </row>
    <row r="24" spans="2:15" x14ac:dyDescent="0.3">
      <c r="C24" t="s">
        <v>17</v>
      </c>
      <c r="D24" s="7">
        <v>325380</v>
      </c>
      <c r="E24" s="2">
        <v>21.11</v>
      </c>
      <c r="F24" s="7">
        <v>115318388.625</v>
      </c>
      <c r="G24" s="7">
        <v>4465</v>
      </c>
      <c r="H24" s="2">
        <v>94.57</v>
      </c>
      <c r="I24" s="7">
        <v>1082486.048</v>
      </c>
      <c r="J24" s="7"/>
      <c r="K24" s="2"/>
      <c r="L24" s="7"/>
      <c r="M24" s="7">
        <v>1452821700</v>
      </c>
      <c r="N24" s="2">
        <v>94.57</v>
      </c>
      <c r="O24" s="7">
        <v>124830546764404.39</v>
      </c>
    </row>
    <row r="25" spans="2:15" x14ac:dyDescent="0.3">
      <c r="C25" t="s">
        <v>20</v>
      </c>
      <c r="D25" s="7">
        <v>34</v>
      </c>
      <c r="E25" s="2">
        <v>67.489999999999995</v>
      </c>
      <c r="F25" s="7">
        <v>2092.19</v>
      </c>
      <c r="G25" s="7"/>
      <c r="H25" s="2"/>
      <c r="I25" s="7"/>
      <c r="J25" s="7"/>
      <c r="K25" s="2"/>
      <c r="L25" s="7"/>
      <c r="M25" s="7">
        <v>34</v>
      </c>
      <c r="N25" s="2">
        <v>67.489999999999995</v>
      </c>
      <c r="O25" s="7">
        <v>2092.19</v>
      </c>
    </row>
    <row r="26" spans="2:15" x14ac:dyDescent="0.3">
      <c r="C26" t="s">
        <v>21</v>
      </c>
      <c r="D26" s="7">
        <v>55</v>
      </c>
      <c r="E26" s="2">
        <v>90.57</v>
      </c>
      <c r="F26" s="7">
        <v>3260.52</v>
      </c>
      <c r="G26" s="7">
        <v>1200</v>
      </c>
      <c r="H26" s="2">
        <v>71.56</v>
      </c>
      <c r="I26" s="7">
        <v>2929574.8032</v>
      </c>
      <c r="J26" s="7"/>
      <c r="K26" s="2"/>
      <c r="L26" s="7"/>
      <c r="M26" s="7">
        <v>66000</v>
      </c>
      <c r="N26" s="2">
        <v>90.57</v>
      </c>
      <c r="O26" s="7">
        <v>9551937237.3296623</v>
      </c>
    </row>
    <row r="27" spans="2:15" x14ac:dyDescent="0.3">
      <c r="B27" t="s">
        <v>46</v>
      </c>
      <c r="D27" s="7">
        <v>2597445286128000</v>
      </c>
      <c r="E27" s="2">
        <v>97.59</v>
      </c>
      <c r="F27" s="7">
        <v>2.1215858669676254E+29</v>
      </c>
      <c r="G27" s="7">
        <v>125698680000</v>
      </c>
      <c r="H27" s="2">
        <v>94.57</v>
      </c>
      <c r="I27" s="7">
        <v>1.2693712494693513E+21</v>
      </c>
      <c r="J27" s="7">
        <v>22082775</v>
      </c>
      <c r="K27" s="2">
        <v>72.69</v>
      </c>
      <c r="L27" s="7">
        <v>303688080647.65082</v>
      </c>
      <c r="M27" s="7">
        <v>7.2099254248109957E+33</v>
      </c>
      <c r="N27" s="2">
        <v>97.59</v>
      </c>
      <c r="O27" s="7">
        <v>8.1785632745250781E+61</v>
      </c>
    </row>
    <row r="28" spans="2:15" x14ac:dyDescent="0.3">
      <c r="B28" t="s">
        <v>28</v>
      </c>
      <c r="D28" s="7">
        <v>6.4042412356235634E+42</v>
      </c>
      <c r="E28" s="2">
        <v>97.59</v>
      </c>
      <c r="F28" s="7">
        <v>5.0213572670173189E+85</v>
      </c>
      <c r="G28" s="7">
        <v>3.1914011546431199E+42</v>
      </c>
      <c r="H28" s="2">
        <v>94.57</v>
      </c>
      <c r="I28" s="7">
        <v>1.1413045274437234E+74</v>
      </c>
      <c r="J28" s="7">
        <v>2.3231191473543389E+26</v>
      </c>
      <c r="K28" s="2">
        <v>97.26</v>
      </c>
      <c r="L28" s="7">
        <v>6.0674367708399258E+39</v>
      </c>
      <c r="M28" s="7">
        <v>4.7481077369804556E+111</v>
      </c>
      <c r="N28" s="2">
        <v>97.59</v>
      </c>
      <c r="O28" s="7">
        <v>3.4771859937038837E+199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D7C6-4645-4205-BF49-840C33D4C8A4}">
  <dimension ref="B4:U18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18" width="20.6640625" bestFit="1" customWidth="1"/>
    <col min="19" max="19" width="18.77734375" bestFit="1" customWidth="1"/>
    <col min="20" max="20" width="15.88671875" bestFit="1" customWidth="1"/>
    <col min="21" max="21" width="25.21875" bestFit="1" customWidth="1"/>
  </cols>
  <sheetData>
    <row r="4" spans="2:21" x14ac:dyDescent="0.3">
      <c r="D4" s="4" t="s">
        <v>0</v>
      </c>
      <c r="E4" s="4" t="s">
        <v>32</v>
      </c>
    </row>
    <row r="5" spans="2:21" x14ac:dyDescent="0.3">
      <c r="D5" t="s">
        <v>26</v>
      </c>
      <c r="G5" t="s">
        <v>19</v>
      </c>
      <c r="J5" t="s">
        <v>24</v>
      </c>
      <c r="M5" t="s">
        <v>10</v>
      </c>
      <c r="P5" t="s">
        <v>30</v>
      </c>
      <c r="S5" t="s">
        <v>55</v>
      </c>
      <c r="T5" t="s">
        <v>56</v>
      </c>
      <c r="U5" t="s">
        <v>58</v>
      </c>
    </row>
    <row r="6" spans="2:21" x14ac:dyDescent="0.3">
      <c r="B6" s="4" t="s">
        <v>8</v>
      </c>
      <c r="C6" s="4" t="s">
        <v>2</v>
      </c>
      <c r="D6" t="s">
        <v>33</v>
      </c>
      <c r="E6" t="s">
        <v>57</v>
      </c>
      <c r="F6" t="s">
        <v>59</v>
      </c>
      <c r="G6" t="s">
        <v>33</v>
      </c>
      <c r="H6" t="s">
        <v>57</v>
      </c>
      <c r="I6" t="s">
        <v>59</v>
      </c>
      <c r="J6" t="s">
        <v>33</v>
      </c>
      <c r="K6" t="s">
        <v>57</v>
      </c>
      <c r="L6" t="s">
        <v>59</v>
      </c>
      <c r="M6" t="s">
        <v>33</v>
      </c>
      <c r="N6" t="s">
        <v>57</v>
      </c>
      <c r="O6" t="s">
        <v>59</v>
      </c>
      <c r="P6" t="s">
        <v>33</v>
      </c>
      <c r="Q6" t="s">
        <v>57</v>
      </c>
      <c r="R6" t="s">
        <v>59</v>
      </c>
    </row>
    <row r="7" spans="2:21" x14ac:dyDescent="0.3">
      <c r="B7" t="s">
        <v>22</v>
      </c>
      <c r="C7" t="s">
        <v>11</v>
      </c>
      <c r="D7" s="7">
        <v>39</v>
      </c>
      <c r="E7" s="7">
        <v>93</v>
      </c>
      <c r="F7" s="2">
        <v>2</v>
      </c>
      <c r="G7" s="7">
        <v>22.5</v>
      </c>
      <c r="H7" s="7">
        <v>86</v>
      </c>
      <c r="I7" s="2">
        <v>2</v>
      </c>
      <c r="J7" s="7"/>
      <c r="K7" s="7"/>
      <c r="L7" s="2"/>
      <c r="M7" s="7">
        <v>25</v>
      </c>
      <c r="N7" s="7">
        <v>43</v>
      </c>
      <c r="O7" s="2">
        <v>1</v>
      </c>
      <c r="P7" s="7"/>
      <c r="Q7" s="7"/>
      <c r="R7" s="2"/>
      <c r="S7" s="7">
        <v>27.25</v>
      </c>
      <c r="T7" s="7">
        <v>93</v>
      </c>
      <c r="U7" s="2">
        <v>5</v>
      </c>
    </row>
    <row r="8" spans="2:21" x14ac:dyDescent="0.3">
      <c r="C8" t="s">
        <v>18</v>
      </c>
      <c r="D8" s="7">
        <v>38</v>
      </c>
      <c r="E8" s="7">
        <v>29</v>
      </c>
      <c r="F8" s="2">
        <v>1</v>
      </c>
      <c r="G8" s="7">
        <v>25.666666666666668</v>
      </c>
      <c r="H8" s="7">
        <v>97</v>
      </c>
      <c r="I8" s="2">
        <v>3</v>
      </c>
      <c r="J8" s="7"/>
      <c r="K8" s="7"/>
      <c r="L8" s="2"/>
      <c r="M8" s="7">
        <v>11.5</v>
      </c>
      <c r="N8" s="7">
        <v>90</v>
      </c>
      <c r="O8" s="2">
        <v>2</v>
      </c>
      <c r="P8" s="7"/>
      <c r="Q8" s="7"/>
      <c r="R8" s="2"/>
      <c r="S8" s="7">
        <v>23</v>
      </c>
      <c r="T8" s="7">
        <v>97</v>
      </c>
      <c r="U8" s="2">
        <v>6</v>
      </c>
    </row>
    <row r="9" spans="2:21" x14ac:dyDescent="0.3">
      <c r="C9" t="s">
        <v>23</v>
      </c>
      <c r="D9" s="7"/>
      <c r="E9" s="7"/>
      <c r="F9" s="2"/>
      <c r="G9" s="7"/>
      <c r="H9" s="7"/>
      <c r="I9" s="2"/>
      <c r="J9" s="7">
        <v>37</v>
      </c>
      <c r="K9" s="7">
        <v>65</v>
      </c>
      <c r="L9" s="2">
        <v>1</v>
      </c>
      <c r="M9" s="7">
        <v>24.666666666666668</v>
      </c>
      <c r="N9" s="7">
        <v>87</v>
      </c>
      <c r="O9" s="2">
        <v>3</v>
      </c>
      <c r="P9" s="7"/>
      <c r="Q9" s="7"/>
      <c r="R9" s="2"/>
      <c r="S9" s="7">
        <v>27.75</v>
      </c>
      <c r="T9" s="7">
        <v>87</v>
      </c>
      <c r="U9" s="2">
        <v>4</v>
      </c>
    </row>
    <row r="10" spans="2:21" x14ac:dyDescent="0.3">
      <c r="B10" t="s">
        <v>54</v>
      </c>
      <c r="D10" s="7">
        <v>38.5</v>
      </c>
      <c r="E10" s="7">
        <v>93</v>
      </c>
      <c r="F10" s="2">
        <v>3</v>
      </c>
      <c r="G10" s="7">
        <v>24.4</v>
      </c>
      <c r="H10" s="7">
        <v>97</v>
      </c>
      <c r="I10" s="2">
        <v>5</v>
      </c>
      <c r="J10" s="7">
        <v>37</v>
      </c>
      <c r="K10" s="7">
        <v>65</v>
      </c>
      <c r="L10" s="2">
        <v>1</v>
      </c>
      <c r="M10" s="7">
        <v>20.333333333333332</v>
      </c>
      <c r="N10" s="7">
        <v>90</v>
      </c>
      <c r="O10" s="2">
        <v>6</v>
      </c>
      <c r="P10" s="7"/>
      <c r="Q10" s="7"/>
      <c r="R10" s="2"/>
      <c r="S10" s="7">
        <v>25.571428571428573</v>
      </c>
      <c r="T10" s="7">
        <v>97</v>
      </c>
      <c r="U10" s="2">
        <v>15</v>
      </c>
    </row>
    <row r="11" spans="2:21" x14ac:dyDescent="0.3">
      <c r="B11" t="s">
        <v>12</v>
      </c>
      <c r="C11" t="s">
        <v>11</v>
      </c>
      <c r="D11" s="7">
        <v>32.333333333333336</v>
      </c>
      <c r="E11" s="7">
        <v>66</v>
      </c>
      <c r="F11" s="2">
        <v>3</v>
      </c>
      <c r="G11" s="7">
        <v>14.333333333333334</v>
      </c>
      <c r="H11" s="7">
        <v>97</v>
      </c>
      <c r="I11" s="2">
        <v>3</v>
      </c>
      <c r="J11" s="7">
        <v>36</v>
      </c>
      <c r="K11" s="7">
        <v>71</v>
      </c>
      <c r="L11" s="2">
        <v>2</v>
      </c>
      <c r="M11" s="7">
        <v>36</v>
      </c>
      <c r="N11" s="7">
        <v>62</v>
      </c>
      <c r="O11" s="2">
        <v>1</v>
      </c>
      <c r="P11" s="7"/>
      <c r="Q11" s="7"/>
      <c r="R11" s="2"/>
      <c r="S11" s="7">
        <v>27.555555555555557</v>
      </c>
      <c r="T11" s="7">
        <v>97</v>
      </c>
      <c r="U11" s="2">
        <v>9</v>
      </c>
    </row>
    <row r="12" spans="2:21" x14ac:dyDescent="0.3">
      <c r="C12" t="s">
        <v>18</v>
      </c>
      <c r="D12" s="7">
        <v>27</v>
      </c>
      <c r="E12" s="7">
        <v>40</v>
      </c>
      <c r="F12" s="2">
        <v>1</v>
      </c>
      <c r="G12" s="7">
        <v>31</v>
      </c>
      <c r="H12" s="7">
        <v>31</v>
      </c>
      <c r="I12" s="2">
        <v>1</v>
      </c>
      <c r="J12" s="7">
        <v>22</v>
      </c>
      <c r="K12" s="7">
        <v>59</v>
      </c>
      <c r="L12" s="2">
        <v>2</v>
      </c>
      <c r="M12" s="7">
        <v>27.6</v>
      </c>
      <c r="N12" s="7">
        <v>76</v>
      </c>
      <c r="O12" s="2">
        <v>5</v>
      </c>
      <c r="P12" s="7">
        <v>26</v>
      </c>
      <c r="Q12" s="7">
        <v>52</v>
      </c>
      <c r="R12" s="2">
        <v>1</v>
      </c>
      <c r="S12" s="7">
        <v>26.6</v>
      </c>
      <c r="T12" s="7">
        <v>76</v>
      </c>
      <c r="U12" s="2">
        <v>10</v>
      </c>
    </row>
    <row r="13" spans="2:21" x14ac:dyDescent="0.3">
      <c r="C13" t="s">
        <v>23</v>
      </c>
      <c r="D13" s="7">
        <v>25</v>
      </c>
      <c r="E13" s="7">
        <v>75</v>
      </c>
      <c r="F13" s="2">
        <v>2</v>
      </c>
      <c r="G13" s="7">
        <v>32</v>
      </c>
      <c r="H13" s="7">
        <v>95</v>
      </c>
      <c r="I13" s="2">
        <v>2</v>
      </c>
      <c r="J13" s="7">
        <v>33</v>
      </c>
      <c r="K13" s="7">
        <v>34</v>
      </c>
      <c r="L13" s="2">
        <v>2</v>
      </c>
      <c r="M13" s="7">
        <v>24</v>
      </c>
      <c r="N13" s="7">
        <v>69</v>
      </c>
      <c r="O13" s="2">
        <v>1</v>
      </c>
      <c r="P13" s="7"/>
      <c r="Q13" s="7"/>
      <c r="R13" s="2"/>
      <c r="S13" s="7">
        <v>29.142857142857142</v>
      </c>
      <c r="T13" s="7">
        <v>95</v>
      </c>
      <c r="U13" s="2">
        <v>7</v>
      </c>
    </row>
    <row r="14" spans="2:21" x14ac:dyDescent="0.3">
      <c r="B14" t="s">
        <v>53</v>
      </c>
      <c r="D14" s="7">
        <v>29</v>
      </c>
      <c r="E14" s="7">
        <v>75</v>
      </c>
      <c r="F14" s="2">
        <v>6</v>
      </c>
      <c r="G14" s="7">
        <v>23</v>
      </c>
      <c r="H14" s="7">
        <v>97</v>
      </c>
      <c r="I14" s="2">
        <v>6</v>
      </c>
      <c r="J14" s="7">
        <v>30.333333333333332</v>
      </c>
      <c r="K14" s="7">
        <v>71</v>
      </c>
      <c r="L14" s="2">
        <v>6</v>
      </c>
      <c r="M14" s="7">
        <v>28.285714285714285</v>
      </c>
      <c r="N14" s="7">
        <v>76</v>
      </c>
      <c r="O14" s="2">
        <v>7</v>
      </c>
      <c r="P14" s="7">
        <v>26</v>
      </c>
      <c r="Q14" s="7">
        <v>52</v>
      </c>
      <c r="R14" s="2">
        <v>1</v>
      </c>
      <c r="S14" s="7">
        <v>27.615384615384617</v>
      </c>
      <c r="T14" s="7">
        <v>97</v>
      </c>
      <c r="U14" s="2">
        <v>26</v>
      </c>
    </row>
    <row r="15" spans="2:21" x14ac:dyDescent="0.3">
      <c r="B15" t="s">
        <v>15</v>
      </c>
      <c r="C15" t="s">
        <v>11</v>
      </c>
      <c r="D15" s="7">
        <v>30.333333333333332</v>
      </c>
      <c r="E15" s="7">
        <v>89</v>
      </c>
      <c r="F15" s="2">
        <v>3</v>
      </c>
      <c r="G15" s="7">
        <v>37</v>
      </c>
      <c r="H15" s="7">
        <v>73</v>
      </c>
      <c r="I15" s="2">
        <v>2</v>
      </c>
      <c r="J15" s="7">
        <v>41.333333333333336</v>
      </c>
      <c r="K15" s="7">
        <v>63</v>
      </c>
      <c r="L15" s="2">
        <v>3</v>
      </c>
      <c r="M15" s="7">
        <v>18</v>
      </c>
      <c r="N15" s="7">
        <v>54</v>
      </c>
      <c r="O15" s="2">
        <v>2</v>
      </c>
      <c r="P15" s="7">
        <v>47</v>
      </c>
      <c r="Q15" s="7">
        <v>26</v>
      </c>
      <c r="R15" s="2">
        <v>1</v>
      </c>
      <c r="S15" s="7">
        <v>33.81818181818182</v>
      </c>
      <c r="T15" s="7">
        <v>89</v>
      </c>
      <c r="U15" s="2">
        <v>11</v>
      </c>
    </row>
    <row r="16" spans="2:21" x14ac:dyDescent="0.3">
      <c r="C16" t="s">
        <v>18</v>
      </c>
      <c r="D16" s="7">
        <v>18.8</v>
      </c>
      <c r="E16" s="7">
        <v>72</v>
      </c>
      <c r="F16" s="2">
        <v>5</v>
      </c>
      <c r="G16" s="7">
        <v>18</v>
      </c>
      <c r="H16" s="7">
        <v>50</v>
      </c>
      <c r="I16" s="2">
        <v>1</v>
      </c>
      <c r="J16" s="7">
        <v>41</v>
      </c>
      <c r="K16" s="7">
        <v>7</v>
      </c>
      <c r="L16" s="2">
        <v>1</v>
      </c>
      <c r="M16" s="7"/>
      <c r="N16" s="7"/>
      <c r="O16" s="2"/>
      <c r="P16" s="7">
        <v>22</v>
      </c>
      <c r="Q16" s="7">
        <v>45</v>
      </c>
      <c r="R16" s="2">
        <v>1</v>
      </c>
      <c r="S16" s="7">
        <v>21.875</v>
      </c>
      <c r="T16" s="7">
        <v>72</v>
      </c>
      <c r="U16" s="2">
        <v>8</v>
      </c>
    </row>
    <row r="17" spans="2:21" x14ac:dyDescent="0.3">
      <c r="C17" t="s">
        <v>23</v>
      </c>
      <c r="D17" s="7">
        <v>19</v>
      </c>
      <c r="E17" s="7">
        <v>34</v>
      </c>
      <c r="F17" s="2">
        <v>3</v>
      </c>
      <c r="G17" s="7">
        <v>25.666666666666668</v>
      </c>
      <c r="H17" s="7">
        <v>55</v>
      </c>
      <c r="I17" s="2">
        <v>3</v>
      </c>
      <c r="J17" s="7">
        <v>34</v>
      </c>
      <c r="K17" s="7">
        <v>58</v>
      </c>
      <c r="L17" s="2">
        <v>1</v>
      </c>
      <c r="M17" s="7">
        <v>33</v>
      </c>
      <c r="N17" s="7">
        <v>85</v>
      </c>
      <c r="O17" s="2">
        <v>3</v>
      </c>
      <c r="P17" s="7"/>
      <c r="Q17" s="7"/>
      <c r="R17" s="2"/>
      <c r="S17" s="7">
        <v>26.7</v>
      </c>
      <c r="T17" s="7">
        <v>85</v>
      </c>
      <c r="U17" s="2">
        <v>10</v>
      </c>
    </row>
    <row r="18" spans="2:21" x14ac:dyDescent="0.3">
      <c r="B18" t="s">
        <v>52</v>
      </c>
      <c r="D18" s="7">
        <v>22</v>
      </c>
      <c r="E18" s="7">
        <v>89</v>
      </c>
      <c r="F18" s="2">
        <v>11</v>
      </c>
      <c r="G18" s="7">
        <v>28.166666666666668</v>
      </c>
      <c r="H18" s="7">
        <v>73</v>
      </c>
      <c r="I18" s="2">
        <v>6</v>
      </c>
      <c r="J18" s="7">
        <v>39.799999999999997</v>
      </c>
      <c r="K18" s="7">
        <v>63</v>
      </c>
      <c r="L18" s="2">
        <v>5</v>
      </c>
      <c r="M18" s="7">
        <v>27</v>
      </c>
      <c r="N18" s="7">
        <v>85</v>
      </c>
      <c r="O18" s="2">
        <v>5</v>
      </c>
      <c r="P18" s="7">
        <v>34.5</v>
      </c>
      <c r="Q18" s="7">
        <v>45</v>
      </c>
      <c r="R18" s="2">
        <v>2</v>
      </c>
      <c r="S18" s="7">
        <v>28.068965517241381</v>
      </c>
      <c r="T18" s="7">
        <v>89</v>
      </c>
      <c r="U18" s="2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D76C-CC69-4CF3-998C-AE5550EC78D5}">
  <dimension ref="B4:E33"/>
  <sheetViews>
    <sheetView workbookViewId="0"/>
  </sheetViews>
  <sheetFormatPr defaultRowHeight="14.4" x14ac:dyDescent="0.3"/>
  <cols>
    <col min="2" max="2" width="12.44140625" bestFit="1" customWidth="1"/>
    <col min="4" max="4" width="6.5546875" bestFit="1" customWidth="1"/>
    <col min="5" max="5" width="14.21875" bestFit="1" customWidth="1"/>
  </cols>
  <sheetData>
    <row r="4" spans="2:5" x14ac:dyDescent="0.3">
      <c r="B4" s="4" t="s">
        <v>9</v>
      </c>
      <c r="C4" s="4" t="s">
        <v>0</v>
      </c>
      <c r="D4" s="4" t="s">
        <v>8</v>
      </c>
      <c r="E4" t="s">
        <v>33</v>
      </c>
    </row>
    <row r="5" spans="2:5" x14ac:dyDescent="0.3">
      <c r="B5" t="s">
        <v>16</v>
      </c>
      <c r="C5" t="s">
        <v>30</v>
      </c>
      <c r="D5" t="s">
        <v>15</v>
      </c>
      <c r="E5" s="7">
        <v>47</v>
      </c>
    </row>
    <row r="6" spans="2:5" x14ac:dyDescent="0.3">
      <c r="D6" t="s">
        <v>12</v>
      </c>
      <c r="E6" s="7">
        <v>26</v>
      </c>
    </row>
    <row r="7" spans="2:5" x14ac:dyDescent="0.3">
      <c r="C7" t="s">
        <v>10</v>
      </c>
      <c r="D7" t="s">
        <v>15</v>
      </c>
      <c r="E7" s="7">
        <v>27.5</v>
      </c>
    </row>
    <row r="8" spans="2:5" x14ac:dyDescent="0.3">
      <c r="D8" t="s">
        <v>12</v>
      </c>
      <c r="E8" s="7">
        <v>16</v>
      </c>
    </row>
    <row r="9" spans="2:5" x14ac:dyDescent="0.3">
      <c r="D9" t="s">
        <v>22</v>
      </c>
      <c r="E9" s="7">
        <v>13</v>
      </c>
    </row>
    <row r="10" spans="2:5" x14ac:dyDescent="0.3">
      <c r="C10" t="s">
        <v>24</v>
      </c>
      <c r="D10" t="s">
        <v>15</v>
      </c>
      <c r="E10" s="7">
        <v>47</v>
      </c>
    </row>
    <row r="11" spans="2:5" x14ac:dyDescent="0.3">
      <c r="D11" t="s">
        <v>12</v>
      </c>
      <c r="E11" s="7">
        <v>23</v>
      </c>
    </row>
    <row r="12" spans="2:5" x14ac:dyDescent="0.3">
      <c r="D12" t="s">
        <v>22</v>
      </c>
      <c r="E12" s="7">
        <v>37</v>
      </c>
    </row>
    <row r="13" spans="2:5" x14ac:dyDescent="0.3">
      <c r="C13" t="s">
        <v>19</v>
      </c>
      <c r="D13" t="s">
        <v>15</v>
      </c>
      <c r="E13" s="7">
        <v>38</v>
      </c>
    </row>
    <row r="14" spans="2:5" x14ac:dyDescent="0.3">
      <c r="D14" t="s">
        <v>12</v>
      </c>
      <c r="E14" s="7">
        <v>23.6</v>
      </c>
    </row>
    <row r="15" spans="2:5" x14ac:dyDescent="0.3">
      <c r="D15" t="s">
        <v>22</v>
      </c>
      <c r="E15" s="7">
        <v>31</v>
      </c>
    </row>
    <row r="16" spans="2:5" x14ac:dyDescent="0.3">
      <c r="C16" t="s">
        <v>26</v>
      </c>
      <c r="D16" t="s">
        <v>15</v>
      </c>
      <c r="E16" s="7">
        <v>23</v>
      </c>
    </row>
    <row r="17" spans="2:5" x14ac:dyDescent="0.3">
      <c r="D17" t="s">
        <v>12</v>
      </c>
      <c r="E17" s="7">
        <v>37</v>
      </c>
    </row>
    <row r="18" spans="2:5" x14ac:dyDescent="0.3">
      <c r="D18" t="s">
        <v>22</v>
      </c>
      <c r="E18" s="7">
        <v>38</v>
      </c>
    </row>
    <row r="19" spans="2:5" x14ac:dyDescent="0.3">
      <c r="B19" t="s">
        <v>60</v>
      </c>
      <c r="E19" s="7">
        <v>26.714285714285715</v>
      </c>
    </row>
    <row r="20" spans="2:5" x14ac:dyDescent="0.3">
      <c r="B20" t="s">
        <v>13</v>
      </c>
      <c r="C20" t="s">
        <v>30</v>
      </c>
      <c r="D20" t="s">
        <v>15</v>
      </c>
      <c r="E20" s="7">
        <v>22</v>
      </c>
    </row>
    <row r="21" spans="2:5" x14ac:dyDescent="0.3">
      <c r="C21" t="s">
        <v>10</v>
      </c>
      <c r="D21" t="s">
        <v>15</v>
      </c>
      <c r="E21" s="7">
        <v>26.666666666666668</v>
      </c>
    </row>
    <row r="22" spans="2:5" x14ac:dyDescent="0.3">
      <c r="D22" t="s">
        <v>12</v>
      </c>
      <c r="E22" s="7">
        <v>33.200000000000003</v>
      </c>
    </row>
    <row r="23" spans="2:5" x14ac:dyDescent="0.3">
      <c r="D23" t="s">
        <v>22</v>
      </c>
      <c r="E23" s="7">
        <v>35</v>
      </c>
    </row>
    <row r="24" spans="2:5" x14ac:dyDescent="0.3">
      <c r="C24" t="s">
        <v>24</v>
      </c>
      <c r="D24" t="s">
        <v>15</v>
      </c>
      <c r="E24" s="7">
        <v>35</v>
      </c>
    </row>
    <row r="25" spans="2:5" x14ac:dyDescent="0.3">
      <c r="D25" t="s">
        <v>12</v>
      </c>
      <c r="E25" s="7">
        <v>37.666666666666664</v>
      </c>
    </row>
    <row r="26" spans="2:5" x14ac:dyDescent="0.3">
      <c r="C26" t="s">
        <v>19</v>
      </c>
      <c r="D26" t="s">
        <v>15</v>
      </c>
      <c r="E26" s="7">
        <v>23.25</v>
      </c>
    </row>
    <row r="27" spans="2:5" x14ac:dyDescent="0.3">
      <c r="D27" t="s">
        <v>12</v>
      </c>
      <c r="E27" s="7">
        <v>20</v>
      </c>
    </row>
    <row r="28" spans="2:5" x14ac:dyDescent="0.3">
      <c r="D28" t="s">
        <v>22</v>
      </c>
      <c r="E28" s="7">
        <v>14.5</v>
      </c>
    </row>
    <row r="29" spans="2:5" x14ac:dyDescent="0.3">
      <c r="C29" t="s">
        <v>26</v>
      </c>
      <c r="D29" t="s">
        <v>15</v>
      </c>
      <c r="E29" s="7">
        <v>20.25</v>
      </c>
    </row>
    <row r="30" spans="2:5" x14ac:dyDescent="0.3">
      <c r="D30" t="s">
        <v>12</v>
      </c>
      <c r="E30" s="7">
        <v>27.4</v>
      </c>
    </row>
    <row r="31" spans="2:5" x14ac:dyDescent="0.3">
      <c r="D31" t="s">
        <v>22</v>
      </c>
      <c r="E31" s="7">
        <v>39</v>
      </c>
    </row>
    <row r="32" spans="2:5" x14ac:dyDescent="0.3">
      <c r="B32" t="s">
        <v>61</v>
      </c>
      <c r="E32" s="7">
        <v>28.088235294117649</v>
      </c>
    </row>
    <row r="33" spans="2:5" x14ac:dyDescent="0.3">
      <c r="B33" t="s">
        <v>28</v>
      </c>
      <c r="E33" s="7">
        <v>27.391304347826086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6BDB-D6F7-48AB-8305-A80F70041B44}">
  <dimension ref="B4:O7"/>
  <sheetViews>
    <sheetView workbookViewId="0"/>
  </sheetViews>
  <sheetFormatPr defaultRowHeight="14.4" x14ac:dyDescent="0.3"/>
  <cols>
    <col min="2" max="2" width="21.109375" bestFit="1" customWidth="1"/>
    <col min="3" max="7" width="8.77734375" bestFit="1" customWidth="1"/>
    <col min="8" max="8" width="6.33203125" bestFit="1" customWidth="1"/>
    <col min="9" max="13" width="7" bestFit="1" customWidth="1"/>
    <col min="14" max="14" width="6.5546875" bestFit="1" customWidth="1"/>
    <col min="15" max="15" width="10.5546875" bestFit="1" customWidth="1"/>
  </cols>
  <sheetData>
    <row r="4" spans="2:15" x14ac:dyDescent="0.3">
      <c r="C4" s="4" t="s">
        <v>9</v>
      </c>
      <c r="D4" s="4" t="s">
        <v>0</v>
      </c>
    </row>
    <row r="5" spans="2:15" x14ac:dyDescent="0.3"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60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61</v>
      </c>
      <c r="O5" t="s">
        <v>28</v>
      </c>
    </row>
    <row r="6" spans="2:15" x14ac:dyDescent="0.3">
      <c r="C6" t="s">
        <v>26</v>
      </c>
      <c r="D6" t="s">
        <v>19</v>
      </c>
      <c r="E6" t="s">
        <v>24</v>
      </c>
      <c r="F6" t="s">
        <v>10</v>
      </c>
      <c r="G6" t="s">
        <v>30</v>
      </c>
      <c r="I6" t="s">
        <v>26</v>
      </c>
      <c r="J6" t="s">
        <v>19</v>
      </c>
      <c r="K6" t="s">
        <v>24</v>
      </c>
      <c r="L6" t="s">
        <v>10</v>
      </c>
      <c r="M6" t="s">
        <v>30</v>
      </c>
    </row>
    <row r="7" spans="2:15" x14ac:dyDescent="0.3">
      <c r="B7" t="s">
        <v>62</v>
      </c>
      <c r="C7" s="7">
        <v>9</v>
      </c>
      <c r="D7" s="7">
        <v>10</v>
      </c>
      <c r="E7" s="7">
        <v>6</v>
      </c>
      <c r="F7" s="7">
        <v>8</v>
      </c>
      <c r="G7" s="7">
        <v>2</v>
      </c>
      <c r="H7" s="7">
        <v>35</v>
      </c>
      <c r="I7" s="7">
        <v>11</v>
      </c>
      <c r="J7" s="7">
        <v>7</v>
      </c>
      <c r="K7" s="7">
        <v>6</v>
      </c>
      <c r="L7" s="7">
        <v>10</v>
      </c>
      <c r="M7" s="7">
        <v>1</v>
      </c>
      <c r="N7" s="7">
        <v>35</v>
      </c>
      <c r="O7" s="7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09A8-DB6C-4B5D-97BC-5F7613EB9E64}">
  <dimension ref="B4:C24"/>
  <sheetViews>
    <sheetView workbookViewId="0"/>
  </sheetViews>
  <sheetFormatPr defaultRowHeight="14.4" x14ac:dyDescent="0.3"/>
  <cols>
    <col min="2" max="2" width="12.44140625" bestFit="1" customWidth="1"/>
    <col min="3" max="3" width="10.5546875" bestFit="1" customWidth="1"/>
  </cols>
  <sheetData>
    <row r="4" spans="2:3" x14ac:dyDescent="0.3">
      <c r="B4" s="4" t="s">
        <v>27</v>
      </c>
      <c r="C4" t="s">
        <v>63</v>
      </c>
    </row>
    <row r="5" spans="2:3" x14ac:dyDescent="0.3">
      <c r="B5" s="5" t="s">
        <v>26</v>
      </c>
      <c r="C5" s="7">
        <v>2</v>
      </c>
    </row>
    <row r="6" spans="2:3" x14ac:dyDescent="0.3">
      <c r="B6" s="6" t="s">
        <v>15</v>
      </c>
      <c r="C6" s="7">
        <v>2</v>
      </c>
    </row>
    <row r="7" spans="2:3" x14ac:dyDescent="0.3">
      <c r="B7" s="6" t="s">
        <v>12</v>
      </c>
      <c r="C7" s="7">
        <v>16</v>
      </c>
    </row>
    <row r="8" spans="2:3" x14ac:dyDescent="0.3">
      <c r="B8" s="6" t="s">
        <v>22</v>
      </c>
      <c r="C8" s="7">
        <v>38</v>
      </c>
    </row>
    <row r="9" spans="2:3" x14ac:dyDescent="0.3">
      <c r="B9" s="5" t="s">
        <v>19</v>
      </c>
      <c r="C9" s="7">
        <v>2</v>
      </c>
    </row>
    <row r="10" spans="2:3" x14ac:dyDescent="0.3">
      <c r="B10" s="6" t="s">
        <v>15</v>
      </c>
      <c r="C10" s="7">
        <v>4</v>
      </c>
    </row>
    <row r="11" spans="2:3" x14ac:dyDescent="0.3">
      <c r="B11" s="6" t="s">
        <v>12</v>
      </c>
      <c r="C11" s="7">
        <v>8</v>
      </c>
    </row>
    <row r="12" spans="2:3" x14ac:dyDescent="0.3">
      <c r="B12" s="6" t="s">
        <v>22</v>
      </c>
      <c r="C12" s="7">
        <v>2</v>
      </c>
    </row>
    <row r="13" spans="2:3" x14ac:dyDescent="0.3">
      <c r="B13" s="5" t="s">
        <v>24</v>
      </c>
      <c r="C13" s="7">
        <v>3</v>
      </c>
    </row>
    <row r="14" spans="2:3" x14ac:dyDescent="0.3">
      <c r="B14" s="6" t="s">
        <v>15</v>
      </c>
      <c r="C14" s="7">
        <v>30</v>
      </c>
    </row>
    <row r="15" spans="2:3" x14ac:dyDescent="0.3">
      <c r="B15" s="6" t="s">
        <v>12</v>
      </c>
      <c r="C15" s="7">
        <v>3</v>
      </c>
    </row>
    <row r="16" spans="2:3" x14ac:dyDescent="0.3">
      <c r="B16" s="6" t="s">
        <v>22</v>
      </c>
      <c r="C16" s="7">
        <v>37</v>
      </c>
    </row>
    <row r="17" spans="2:3" x14ac:dyDescent="0.3">
      <c r="B17" s="5" t="s">
        <v>10</v>
      </c>
      <c r="C17" s="7">
        <v>1</v>
      </c>
    </row>
    <row r="18" spans="2:3" x14ac:dyDescent="0.3">
      <c r="B18" s="6" t="s">
        <v>15</v>
      </c>
      <c r="C18" s="7">
        <v>17</v>
      </c>
    </row>
    <row r="19" spans="2:3" x14ac:dyDescent="0.3">
      <c r="B19" s="6" t="s">
        <v>12</v>
      </c>
      <c r="C19" s="7">
        <v>1</v>
      </c>
    </row>
    <row r="20" spans="2:3" x14ac:dyDescent="0.3">
      <c r="B20" s="6" t="s">
        <v>22</v>
      </c>
      <c r="C20" s="7">
        <v>1</v>
      </c>
    </row>
    <row r="21" spans="2:3" x14ac:dyDescent="0.3">
      <c r="B21" s="5" t="s">
        <v>30</v>
      </c>
      <c r="C21" s="7">
        <v>22</v>
      </c>
    </row>
    <row r="22" spans="2:3" x14ac:dyDescent="0.3">
      <c r="B22" s="6" t="s">
        <v>15</v>
      </c>
      <c r="C22" s="7">
        <v>22</v>
      </c>
    </row>
    <row r="23" spans="2:3" x14ac:dyDescent="0.3">
      <c r="B23" s="6" t="s">
        <v>12</v>
      </c>
      <c r="C23" s="7">
        <v>26</v>
      </c>
    </row>
    <row r="24" spans="2:3" x14ac:dyDescent="0.3">
      <c r="B24" s="5" t="s">
        <v>28</v>
      </c>
      <c r="C24" s="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8B79-290D-473D-A396-AF0F83AEE8ED}">
  <dimension ref="B4:F39"/>
  <sheetViews>
    <sheetView workbookViewId="0"/>
  </sheetViews>
  <sheetFormatPr defaultRowHeight="14.4" x14ac:dyDescent="0.3"/>
  <cols>
    <col min="2" max="2" width="12.44140625" bestFit="1" customWidth="1"/>
    <col min="4" max="4" width="10" bestFit="1" customWidth="1"/>
    <col min="5" max="5" width="15.21875" bestFit="1" customWidth="1"/>
    <col min="6" max="6" width="12" bestFit="1" customWidth="1"/>
  </cols>
  <sheetData>
    <row r="4" spans="2:6" x14ac:dyDescent="0.3">
      <c r="B4" s="4" t="s">
        <v>9</v>
      </c>
      <c r="C4" s="4" t="s">
        <v>1</v>
      </c>
      <c r="D4" s="4" t="s">
        <v>2</v>
      </c>
      <c r="E4" t="s">
        <v>64</v>
      </c>
      <c r="F4" t="s">
        <v>65</v>
      </c>
    </row>
    <row r="5" spans="2:6" x14ac:dyDescent="0.3">
      <c r="B5" t="s">
        <v>16</v>
      </c>
      <c r="C5" t="s">
        <v>21</v>
      </c>
      <c r="D5" t="s">
        <v>23</v>
      </c>
      <c r="E5" s="7">
        <v>1</v>
      </c>
      <c r="F5" s="7" t="e">
        <v>#DIV/0!</v>
      </c>
    </row>
    <row r="6" spans="2:6" x14ac:dyDescent="0.3">
      <c r="B6" t="s">
        <v>16</v>
      </c>
      <c r="C6" t="s">
        <v>21</v>
      </c>
      <c r="D6" t="s">
        <v>18</v>
      </c>
      <c r="E6" s="7">
        <v>5</v>
      </c>
      <c r="F6" s="7">
        <v>1295.6999999999998</v>
      </c>
    </row>
    <row r="7" spans="2:6" x14ac:dyDescent="0.3">
      <c r="B7" t="s">
        <v>16</v>
      </c>
      <c r="C7" t="s">
        <v>21</v>
      </c>
      <c r="D7" t="s">
        <v>11</v>
      </c>
      <c r="E7" s="7">
        <v>2</v>
      </c>
      <c r="F7" s="7">
        <v>1152</v>
      </c>
    </row>
    <row r="8" spans="2:6" x14ac:dyDescent="0.3">
      <c r="B8" t="s">
        <v>16</v>
      </c>
      <c r="C8" t="s">
        <v>20</v>
      </c>
      <c r="D8" t="s">
        <v>23</v>
      </c>
      <c r="E8" s="7">
        <v>1</v>
      </c>
      <c r="F8" s="7" t="e">
        <v>#DIV/0!</v>
      </c>
    </row>
    <row r="9" spans="2:6" x14ac:dyDescent="0.3">
      <c r="B9" t="s">
        <v>16</v>
      </c>
      <c r="C9" t="s">
        <v>20</v>
      </c>
      <c r="D9" t="s">
        <v>18</v>
      </c>
      <c r="E9" s="7">
        <v>2</v>
      </c>
      <c r="F9" s="7">
        <v>684.5</v>
      </c>
    </row>
    <row r="10" spans="2:6" x14ac:dyDescent="0.3">
      <c r="B10" t="s">
        <v>16</v>
      </c>
      <c r="C10" t="s">
        <v>17</v>
      </c>
      <c r="D10" t="s">
        <v>23</v>
      </c>
      <c r="E10" s="7">
        <v>2</v>
      </c>
      <c r="F10" s="7">
        <v>420.5</v>
      </c>
    </row>
    <row r="11" spans="2:6" x14ac:dyDescent="0.3">
      <c r="B11" t="s">
        <v>16</v>
      </c>
      <c r="C11" t="s">
        <v>17</v>
      </c>
      <c r="D11" t="s">
        <v>18</v>
      </c>
      <c r="E11" s="7">
        <v>2</v>
      </c>
      <c r="F11" s="7">
        <v>512</v>
      </c>
    </row>
    <row r="12" spans="2:6" x14ac:dyDescent="0.3">
      <c r="B12" t="s">
        <v>16</v>
      </c>
      <c r="C12" t="s">
        <v>17</v>
      </c>
      <c r="D12" t="s">
        <v>11</v>
      </c>
      <c r="E12" s="7">
        <v>1</v>
      </c>
      <c r="F12" s="7" t="e">
        <v>#DIV/0!</v>
      </c>
    </row>
    <row r="13" spans="2:6" x14ac:dyDescent="0.3">
      <c r="B13" t="s">
        <v>16</v>
      </c>
      <c r="C13" t="s">
        <v>3</v>
      </c>
      <c r="D13" t="s">
        <v>23</v>
      </c>
      <c r="E13" s="7">
        <v>2</v>
      </c>
      <c r="F13" s="7">
        <v>220.5</v>
      </c>
    </row>
    <row r="14" spans="2:6" x14ac:dyDescent="0.3">
      <c r="B14" t="s">
        <v>16</v>
      </c>
      <c r="C14" t="s">
        <v>3</v>
      </c>
      <c r="D14" t="s">
        <v>18</v>
      </c>
      <c r="E14" s="7">
        <v>2</v>
      </c>
      <c r="F14" s="7">
        <v>264.5</v>
      </c>
    </row>
    <row r="15" spans="2:6" x14ac:dyDescent="0.3">
      <c r="B15" t="s">
        <v>16</v>
      </c>
      <c r="C15" t="s">
        <v>3</v>
      </c>
      <c r="D15" t="s">
        <v>11</v>
      </c>
      <c r="E15" s="7">
        <v>2</v>
      </c>
      <c r="F15" s="7">
        <v>578</v>
      </c>
    </row>
    <row r="16" spans="2:6" x14ac:dyDescent="0.3">
      <c r="B16" t="s">
        <v>16</v>
      </c>
      <c r="C16" t="s">
        <v>14</v>
      </c>
      <c r="D16" t="s">
        <v>23</v>
      </c>
      <c r="E16" s="7">
        <v>3</v>
      </c>
      <c r="F16" s="7">
        <v>1201</v>
      </c>
    </row>
    <row r="17" spans="2:6" x14ac:dyDescent="0.3">
      <c r="B17" t="s">
        <v>16</v>
      </c>
      <c r="C17" t="s">
        <v>14</v>
      </c>
      <c r="D17" t="s">
        <v>18</v>
      </c>
      <c r="E17" s="7">
        <v>1</v>
      </c>
      <c r="F17" s="7" t="e">
        <v>#DIV/0!</v>
      </c>
    </row>
    <row r="18" spans="2:6" x14ac:dyDescent="0.3">
      <c r="B18" t="s">
        <v>16</v>
      </c>
      <c r="C18" t="s">
        <v>14</v>
      </c>
      <c r="D18" t="s">
        <v>11</v>
      </c>
      <c r="E18" s="7">
        <v>3</v>
      </c>
      <c r="F18" s="7">
        <v>2058.3333333333335</v>
      </c>
    </row>
    <row r="19" spans="2:6" x14ac:dyDescent="0.3">
      <c r="B19" t="s">
        <v>16</v>
      </c>
      <c r="C19" t="s">
        <v>25</v>
      </c>
      <c r="D19" t="s">
        <v>23</v>
      </c>
      <c r="E19" s="7">
        <v>2</v>
      </c>
      <c r="F19" s="7">
        <v>512</v>
      </c>
    </row>
    <row r="20" spans="2:6" x14ac:dyDescent="0.3">
      <c r="B20" t="s">
        <v>16</v>
      </c>
      <c r="C20" t="s">
        <v>25</v>
      </c>
      <c r="D20" t="s">
        <v>18</v>
      </c>
      <c r="E20" s="7">
        <v>1</v>
      </c>
      <c r="F20" s="7" t="e">
        <v>#DIV/0!</v>
      </c>
    </row>
    <row r="21" spans="2:6" x14ac:dyDescent="0.3">
      <c r="B21" t="s">
        <v>16</v>
      </c>
      <c r="C21" t="s">
        <v>25</v>
      </c>
      <c r="D21" t="s">
        <v>11</v>
      </c>
      <c r="E21" s="7">
        <v>3</v>
      </c>
      <c r="F21" s="7">
        <v>661</v>
      </c>
    </row>
    <row r="22" spans="2:6" x14ac:dyDescent="0.3">
      <c r="B22" t="s">
        <v>60</v>
      </c>
      <c r="E22" s="7">
        <v>35</v>
      </c>
      <c r="F22" s="7">
        <v>783.87899159663868</v>
      </c>
    </row>
    <row r="23" spans="2:6" x14ac:dyDescent="0.3">
      <c r="B23" t="s">
        <v>13</v>
      </c>
      <c r="C23" t="s">
        <v>21</v>
      </c>
      <c r="D23" t="s">
        <v>23</v>
      </c>
      <c r="E23" s="7">
        <v>2</v>
      </c>
      <c r="F23" s="7">
        <v>200</v>
      </c>
    </row>
    <row r="24" spans="2:6" x14ac:dyDescent="0.3">
      <c r="B24" t="s">
        <v>13</v>
      </c>
      <c r="C24" t="s">
        <v>21</v>
      </c>
      <c r="D24" t="s">
        <v>18</v>
      </c>
      <c r="E24" s="7">
        <v>2</v>
      </c>
      <c r="F24" s="7">
        <v>12.5</v>
      </c>
    </row>
    <row r="25" spans="2:6" x14ac:dyDescent="0.3">
      <c r="B25" t="s">
        <v>13</v>
      </c>
      <c r="C25" t="s">
        <v>21</v>
      </c>
      <c r="D25" t="s">
        <v>11</v>
      </c>
      <c r="E25" s="7">
        <v>3</v>
      </c>
      <c r="F25" s="7">
        <v>65.33333333333303</v>
      </c>
    </row>
    <row r="26" spans="2:6" x14ac:dyDescent="0.3">
      <c r="B26" t="s">
        <v>13</v>
      </c>
      <c r="C26" t="s">
        <v>20</v>
      </c>
      <c r="D26" t="s">
        <v>18</v>
      </c>
      <c r="E26" s="7">
        <v>2</v>
      </c>
      <c r="F26" s="7">
        <v>312.5</v>
      </c>
    </row>
    <row r="27" spans="2:6" x14ac:dyDescent="0.3">
      <c r="B27" t="s">
        <v>13</v>
      </c>
      <c r="C27" t="s">
        <v>20</v>
      </c>
      <c r="D27" t="s">
        <v>11</v>
      </c>
      <c r="E27" s="7">
        <v>4</v>
      </c>
      <c r="F27" s="7">
        <v>1103.8000000000002</v>
      </c>
    </row>
    <row r="28" spans="2:6" x14ac:dyDescent="0.3">
      <c r="B28" t="s">
        <v>13</v>
      </c>
      <c r="C28" t="s">
        <v>17</v>
      </c>
      <c r="D28" t="s">
        <v>23</v>
      </c>
      <c r="E28" s="7">
        <v>3</v>
      </c>
      <c r="F28" s="7">
        <v>382.33333333333303</v>
      </c>
    </row>
    <row r="29" spans="2:6" x14ac:dyDescent="0.3">
      <c r="B29" t="s">
        <v>13</v>
      </c>
      <c r="C29" t="s">
        <v>17</v>
      </c>
      <c r="D29" t="s">
        <v>18</v>
      </c>
      <c r="E29" s="7">
        <v>3</v>
      </c>
      <c r="F29" s="7">
        <v>212.33333333333348</v>
      </c>
    </row>
    <row r="30" spans="2:6" x14ac:dyDescent="0.3">
      <c r="B30" t="s">
        <v>13</v>
      </c>
      <c r="C30" t="s">
        <v>17</v>
      </c>
      <c r="D30" t="s">
        <v>11</v>
      </c>
      <c r="E30" s="7">
        <v>2</v>
      </c>
      <c r="F30" s="7">
        <v>220.5</v>
      </c>
    </row>
    <row r="31" spans="2:6" x14ac:dyDescent="0.3">
      <c r="B31" t="s">
        <v>13</v>
      </c>
      <c r="C31" t="s">
        <v>3</v>
      </c>
      <c r="D31" t="s">
        <v>23</v>
      </c>
      <c r="E31" s="7">
        <v>2</v>
      </c>
      <c r="F31" s="7">
        <v>180.5</v>
      </c>
    </row>
    <row r="32" spans="2:6" x14ac:dyDescent="0.3">
      <c r="B32" t="s">
        <v>13</v>
      </c>
      <c r="C32" t="s">
        <v>3</v>
      </c>
      <c r="D32" t="s">
        <v>11</v>
      </c>
      <c r="E32" s="7">
        <v>1</v>
      </c>
      <c r="F32" s="7" t="e">
        <v>#DIV/0!</v>
      </c>
    </row>
    <row r="33" spans="2:6" x14ac:dyDescent="0.3">
      <c r="B33" t="s">
        <v>13</v>
      </c>
      <c r="C33" t="s">
        <v>14</v>
      </c>
      <c r="D33" t="s">
        <v>23</v>
      </c>
      <c r="E33" s="7">
        <v>1</v>
      </c>
      <c r="F33" s="7" t="e">
        <v>#DIV/0!</v>
      </c>
    </row>
    <row r="34" spans="2:6" x14ac:dyDescent="0.3">
      <c r="B34" t="s">
        <v>13</v>
      </c>
      <c r="C34" t="s">
        <v>14</v>
      </c>
      <c r="D34" t="s">
        <v>18</v>
      </c>
      <c r="E34" s="7">
        <v>1</v>
      </c>
      <c r="F34" s="7" t="e">
        <v>#DIV/0!</v>
      </c>
    </row>
    <row r="35" spans="2:6" x14ac:dyDescent="0.3">
      <c r="B35" t="s">
        <v>13</v>
      </c>
      <c r="C35" t="s">
        <v>14</v>
      </c>
      <c r="D35" t="s">
        <v>11</v>
      </c>
      <c r="E35" s="7">
        <v>1</v>
      </c>
      <c r="F35" s="7" t="e">
        <v>#DIV/0!</v>
      </c>
    </row>
    <row r="36" spans="2:6" x14ac:dyDescent="0.3">
      <c r="B36" t="s">
        <v>13</v>
      </c>
      <c r="C36" t="s">
        <v>25</v>
      </c>
      <c r="D36" t="s">
        <v>23</v>
      </c>
      <c r="E36" s="7">
        <v>2</v>
      </c>
      <c r="F36" s="7">
        <v>2112.5</v>
      </c>
    </row>
    <row r="37" spans="2:6" x14ac:dyDescent="0.3">
      <c r="B37" t="s">
        <v>13</v>
      </c>
      <c r="C37" t="s">
        <v>25</v>
      </c>
      <c r="D37" t="s">
        <v>18</v>
      </c>
      <c r="E37" s="7">
        <v>3</v>
      </c>
      <c r="F37" s="7">
        <v>1852</v>
      </c>
    </row>
    <row r="38" spans="2:6" x14ac:dyDescent="0.3">
      <c r="B38" t="s">
        <v>13</v>
      </c>
      <c r="C38" t="s">
        <v>25</v>
      </c>
      <c r="D38" t="s">
        <v>11</v>
      </c>
      <c r="E38" s="7">
        <v>2</v>
      </c>
      <c r="F38" s="7">
        <v>8</v>
      </c>
    </row>
    <row r="39" spans="2:6" x14ac:dyDescent="0.3">
      <c r="B39" t="s">
        <v>61</v>
      </c>
      <c r="E39" s="7">
        <v>34</v>
      </c>
      <c r="F39" s="7">
        <v>792.96134453781531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FA9C-5D27-4A4C-9546-3DF9C085368D}">
  <dimension ref="B4:U18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18" width="13.6640625" bestFit="1" customWidth="1"/>
    <col min="19" max="19" width="14.88671875" bestFit="1" customWidth="1"/>
    <col min="20" max="20" width="15.33203125" bestFit="1" customWidth="1"/>
    <col min="21" max="21" width="18.21875" bestFit="1" customWidth="1"/>
  </cols>
  <sheetData>
    <row r="4" spans="2:21" x14ac:dyDescent="0.3">
      <c r="D4" s="4" t="s">
        <v>0</v>
      </c>
      <c r="E4" s="4" t="s">
        <v>32</v>
      </c>
    </row>
    <row r="5" spans="2:21" x14ac:dyDescent="0.3">
      <c r="D5" t="s">
        <v>26</v>
      </c>
      <c r="G5" t="s">
        <v>19</v>
      </c>
      <c r="J5" t="s">
        <v>24</v>
      </c>
      <c r="M5" t="s">
        <v>10</v>
      </c>
      <c r="P5" t="s">
        <v>30</v>
      </c>
      <c r="S5" t="s">
        <v>66</v>
      </c>
      <c r="T5" t="s">
        <v>67</v>
      </c>
      <c r="U5" t="s">
        <v>68</v>
      </c>
    </row>
    <row r="6" spans="2:21" x14ac:dyDescent="0.3">
      <c r="B6" s="4" t="s">
        <v>2</v>
      </c>
      <c r="C6" s="4" t="s">
        <v>8</v>
      </c>
      <c r="D6" t="s">
        <v>31</v>
      </c>
      <c r="E6" t="s">
        <v>65</v>
      </c>
      <c r="F6" t="s">
        <v>69</v>
      </c>
      <c r="G6" t="s">
        <v>31</v>
      </c>
      <c r="H6" t="s">
        <v>65</v>
      </c>
      <c r="I6" t="s">
        <v>69</v>
      </c>
      <c r="J6" t="s">
        <v>31</v>
      </c>
      <c r="K6" t="s">
        <v>65</v>
      </c>
      <c r="L6" t="s">
        <v>69</v>
      </c>
      <c r="M6" t="s">
        <v>31</v>
      </c>
      <c r="N6" t="s">
        <v>65</v>
      </c>
      <c r="O6" t="s">
        <v>69</v>
      </c>
      <c r="P6" t="s">
        <v>31</v>
      </c>
      <c r="Q6" t="s">
        <v>65</v>
      </c>
      <c r="R6" t="s">
        <v>69</v>
      </c>
    </row>
    <row r="7" spans="2:21" x14ac:dyDescent="0.3">
      <c r="B7" t="s">
        <v>11</v>
      </c>
      <c r="C7" t="s">
        <v>15</v>
      </c>
      <c r="D7" s="7">
        <v>180.33333333333326</v>
      </c>
      <c r="E7" s="7">
        <v>1716.333333333333</v>
      </c>
      <c r="F7" s="2">
        <v>39.356351880393234</v>
      </c>
      <c r="G7" s="7">
        <v>8</v>
      </c>
      <c r="H7" s="7">
        <v>2312</v>
      </c>
      <c r="I7" s="2">
        <v>23.758787847868</v>
      </c>
      <c r="J7" s="7">
        <v>97.333333333333485</v>
      </c>
      <c r="K7" s="7">
        <v>796.33333333333326</v>
      </c>
      <c r="L7" s="2">
        <v>17.301765805836116</v>
      </c>
      <c r="M7" s="7">
        <v>2</v>
      </c>
      <c r="N7" s="7">
        <v>578</v>
      </c>
      <c r="O7" s="2">
        <v>2.5243712088357637</v>
      </c>
      <c r="P7" s="7" t="e">
        <v>#DIV/0!</v>
      </c>
      <c r="Q7" s="7" t="e">
        <v>#DIV/0!</v>
      </c>
      <c r="R7" s="2" t="e">
        <v>#DIV/0!</v>
      </c>
      <c r="S7" s="7">
        <v>146.56363636363639</v>
      </c>
      <c r="T7" s="7">
        <v>950.81818181818198</v>
      </c>
      <c r="U7" s="2">
        <v>31.68879558226449</v>
      </c>
    </row>
    <row r="8" spans="2:21" x14ac:dyDescent="0.3">
      <c r="C8" t="s">
        <v>12</v>
      </c>
      <c r="D8" s="7">
        <v>65.333333333333258</v>
      </c>
      <c r="E8" s="7">
        <v>6.3333333333330302</v>
      </c>
      <c r="F8" s="2">
        <v>44.943965112126008</v>
      </c>
      <c r="G8" s="7">
        <v>36.333333333333314</v>
      </c>
      <c r="H8" s="7">
        <v>990.33333333333394</v>
      </c>
      <c r="I8" s="2">
        <v>28.627327852944994</v>
      </c>
      <c r="J8" s="7">
        <v>162</v>
      </c>
      <c r="K8" s="7">
        <v>924.5</v>
      </c>
      <c r="L8" s="2">
        <v>13.328962825366357</v>
      </c>
      <c r="M8" s="7" t="e">
        <v>#DIV/0!</v>
      </c>
      <c r="N8" s="7" t="e">
        <v>#DIV/0!</v>
      </c>
      <c r="O8" s="2" t="e">
        <v>#DIV/0!</v>
      </c>
      <c r="P8" s="7"/>
      <c r="Q8" s="7"/>
      <c r="R8" s="2"/>
      <c r="S8" s="7">
        <v>146.52777777777783</v>
      </c>
      <c r="T8" s="7">
        <v>493.61111111111131</v>
      </c>
      <c r="U8" s="2">
        <v>29.984493075588254</v>
      </c>
    </row>
    <row r="9" spans="2:21" x14ac:dyDescent="0.3">
      <c r="C9" t="s">
        <v>22</v>
      </c>
      <c r="D9" s="7" t="e">
        <v>#DIV/0!</v>
      </c>
      <c r="E9" s="7">
        <v>3612.5</v>
      </c>
      <c r="F9" s="2">
        <v>35.369481194951106</v>
      </c>
      <c r="G9" s="7">
        <v>840.5</v>
      </c>
      <c r="H9" s="7">
        <v>1012.5</v>
      </c>
      <c r="I9" s="2">
        <v>17.239263325328015</v>
      </c>
      <c r="J9" s="7"/>
      <c r="K9" s="7"/>
      <c r="L9" s="2"/>
      <c r="M9" s="7" t="e">
        <v>#DIV/0!</v>
      </c>
      <c r="N9" s="7" t="e">
        <v>#DIV/0!</v>
      </c>
      <c r="O9" s="2" t="e">
        <v>#DIV/0!</v>
      </c>
      <c r="P9" s="7"/>
      <c r="Q9" s="7"/>
      <c r="R9" s="2"/>
      <c r="S9" s="7">
        <v>342.91666666666669</v>
      </c>
      <c r="T9" s="7">
        <v>1237.6999999999998</v>
      </c>
      <c r="U9" s="2">
        <v>23.483832097849799</v>
      </c>
    </row>
    <row r="10" spans="2:21" x14ac:dyDescent="0.3">
      <c r="B10" t="s">
        <v>44</v>
      </c>
      <c r="D10" s="7">
        <v>91.285714285714221</v>
      </c>
      <c r="E10" s="7">
        <v>1036.8392857142858</v>
      </c>
      <c r="F10" s="2">
        <v>37.959278180703073</v>
      </c>
      <c r="G10" s="7">
        <v>256.47619047619042</v>
      </c>
      <c r="H10" s="7">
        <v>1193.8095238095236</v>
      </c>
      <c r="I10" s="2">
        <v>26.929009406568365</v>
      </c>
      <c r="J10" s="7">
        <v>97.700000000000045</v>
      </c>
      <c r="K10" s="7">
        <v>735.7</v>
      </c>
      <c r="L10" s="2">
        <v>21.620155642362977</v>
      </c>
      <c r="M10" s="7">
        <v>72.916666666666671</v>
      </c>
      <c r="N10" s="7">
        <v>332.91666666666669</v>
      </c>
      <c r="O10" s="2">
        <v>20.705835530110839</v>
      </c>
      <c r="P10" s="7" t="e">
        <v>#DIV/0!</v>
      </c>
      <c r="Q10" s="7" t="e">
        <v>#DIV/0!</v>
      </c>
      <c r="R10" s="2" t="e">
        <v>#DIV/0!</v>
      </c>
      <c r="S10" s="7">
        <v>169.89673913043478</v>
      </c>
      <c r="T10" s="7">
        <v>890.66666666666663</v>
      </c>
      <c r="U10" s="2">
        <v>28.58191357018163</v>
      </c>
    </row>
    <row r="11" spans="2:21" x14ac:dyDescent="0.3">
      <c r="B11" t="s">
        <v>18</v>
      </c>
      <c r="C11" t="s">
        <v>15</v>
      </c>
      <c r="D11" s="7">
        <v>185.7</v>
      </c>
      <c r="E11" s="7">
        <v>672.69999999999982</v>
      </c>
      <c r="F11" s="2">
        <v>30.545484117951062</v>
      </c>
      <c r="G11" s="7" t="e">
        <v>#DIV/0!</v>
      </c>
      <c r="H11" s="7" t="e">
        <v>#DIV/0!</v>
      </c>
      <c r="I11" s="2" t="e">
        <v>#DIV/0!</v>
      </c>
      <c r="J11" s="7" t="e">
        <v>#DIV/0!</v>
      </c>
      <c r="K11" s="7" t="e">
        <v>#DIV/0!</v>
      </c>
      <c r="L11" s="2" t="e">
        <v>#DIV/0!</v>
      </c>
      <c r="M11" s="7"/>
      <c r="N11" s="7"/>
      <c r="O11" s="2"/>
      <c r="P11" s="7" t="e">
        <v>#DIV/0!</v>
      </c>
      <c r="Q11" s="7" t="e">
        <v>#DIV/0!</v>
      </c>
      <c r="R11" s="2" t="e">
        <v>#DIV/0!</v>
      </c>
      <c r="S11" s="7">
        <v>167.26785714285714</v>
      </c>
      <c r="T11" s="7">
        <v>565.07142857142856</v>
      </c>
      <c r="U11" s="2">
        <v>33.985386328958683</v>
      </c>
    </row>
    <row r="12" spans="2:21" x14ac:dyDescent="0.3">
      <c r="C12" t="s">
        <v>12</v>
      </c>
      <c r="D12" s="7" t="e">
        <v>#DIV/0!</v>
      </c>
      <c r="E12" s="7" t="e">
        <v>#DIV/0!</v>
      </c>
      <c r="F12" s="2" t="e">
        <v>#DIV/0!</v>
      </c>
      <c r="G12" s="7" t="e">
        <v>#DIV/0!</v>
      </c>
      <c r="H12" s="7" t="e">
        <v>#DIV/0!</v>
      </c>
      <c r="I12" s="2" t="e">
        <v>#DIV/0!</v>
      </c>
      <c r="J12" s="7">
        <v>722</v>
      </c>
      <c r="K12" s="7">
        <v>1104.5</v>
      </c>
      <c r="L12" s="2">
        <v>30.554084015070707</v>
      </c>
      <c r="M12" s="7">
        <v>469.29999999999995</v>
      </c>
      <c r="N12" s="7">
        <v>960.69999999999982</v>
      </c>
      <c r="O12" s="2">
        <v>26.596169837027283</v>
      </c>
      <c r="P12" s="7" t="e">
        <v>#DIV/0!</v>
      </c>
      <c r="Q12" s="7" t="e">
        <v>#DIV/0!</v>
      </c>
      <c r="R12" s="2" t="e">
        <v>#DIV/0!</v>
      </c>
      <c r="S12" s="7">
        <v>296.26666666666665</v>
      </c>
      <c r="T12" s="7">
        <v>602.94444444444446</v>
      </c>
      <c r="U12" s="2">
        <v>28.614531351123773</v>
      </c>
    </row>
    <row r="13" spans="2:21" x14ac:dyDescent="0.3">
      <c r="C13" t="s">
        <v>22</v>
      </c>
      <c r="D13" s="7" t="e">
        <v>#DIV/0!</v>
      </c>
      <c r="E13" s="7" t="e">
        <v>#DIV/0!</v>
      </c>
      <c r="F13" s="2" t="e">
        <v>#DIV/0!</v>
      </c>
      <c r="G13" s="7">
        <v>401.33333333333337</v>
      </c>
      <c r="H13" s="7">
        <v>10.33333333333394</v>
      </c>
      <c r="I13" s="2">
        <v>31.982267482674402</v>
      </c>
      <c r="J13" s="7"/>
      <c r="K13" s="7"/>
      <c r="L13" s="2"/>
      <c r="M13" s="7">
        <v>220.5</v>
      </c>
      <c r="N13" s="7">
        <v>1058</v>
      </c>
      <c r="O13" s="2">
        <v>53.612836149564039</v>
      </c>
      <c r="P13" s="7"/>
      <c r="Q13" s="7"/>
      <c r="R13" s="2"/>
      <c r="S13" s="7">
        <v>306.8</v>
      </c>
      <c r="T13" s="7">
        <v>864.56666666666638</v>
      </c>
      <c r="U13" s="2">
        <v>34.143566695157489</v>
      </c>
    </row>
    <row r="14" spans="2:21" x14ac:dyDescent="0.3">
      <c r="B14" t="s">
        <v>45</v>
      </c>
      <c r="D14" s="7">
        <v>178.57142857142858</v>
      </c>
      <c r="E14" s="7">
        <v>476.57142857142844</v>
      </c>
      <c r="F14" s="2">
        <v>33.689673209343852</v>
      </c>
      <c r="G14" s="7">
        <v>222.20000000000005</v>
      </c>
      <c r="H14" s="7">
        <v>887.69999999999982</v>
      </c>
      <c r="I14" s="2">
        <v>42.413499855588441</v>
      </c>
      <c r="J14" s="7">
        <v>481.33333333333326</v>
      </c>
      <c r="K14" s="7">
        <v>823</v>
      </c>
      <c r="L14" s="2">
        <v>36.031611583904123</v>
      </c>
      <c r="M14" s="7">
        <v>411.33333333333331</v>
      </c>
      <c r="N14" s="7">
        <v>900.95238095238108</v>
      </c>
      <c r="O14" s="2">
        <v>30.932110531044639</v>
      </c>
      <c r="P14" s="7">
        <v>8</v>
      </c>
      <c r="Q14" s="7">
        <v>24.5</v>
      </c>
      <c r="R14" s="2">
        <v>1.3505739520663056</v>
      </c>
      <c r="S14" s="7">
        <v>238.28804347826087</v>
      </c>
      <c r="T14" s="7">
        <v>798.92753623188412</v>
      </c>
      <c r="U14" s="2">
        <v>33.640692854946806</v>
      </c>
    </row>
    <row r="15" spans="2:21" x14ac:dyDescent="0.3">
      <c r="B15" t="s">
        <v>23</v>
      </c>
      <c r="C15" t="s">
        <v>15</v>
      </c>
      <c r="D15" s="7">
        <v>117</v>
      </c>
      <c r="E15" s="7">
        <v>182.33333333333337</v>
      </c>
      <c r="F15" s="2">
        <v>27.237045238669591</v>
      </c>
      <c r="G15" s="7">
        <v>352.33333333333337</v>
      </c>
      <c r="H15" s="7">
        <v>126.33333333333348</v>
      </c>
      <c r="I15" s="2">
        <v>33.938770356825451</v>
      </c>
      <c r="J15" s="7" t="e">
        <v>#DIV/0!</v>
      </c>
      <c r="K15" s="7" t="e">
        <v>#DIV/0!</v>
      </c>
      <c r="L15" s="2" t="e">
        <v>#DIV/0!</v>
      </c>
      <c r="M15" s="7">
        <v>49</v>
      </c>
      <c r="N15" s="7">
        <v>1044.333333333333</v>
      </c>
      <c r="O15" s="2">
        <v>33.029506505547431</v>
      </c>
      <c r="P15" s="7"/>
      <c r="Q15" s="7"/>
      <c r="R15" s="2"/>
      <c r="S15" s="7">
        <v>154.45555555555561</v>
      </c>
      <c r="T15" s="7">
        <v>562.76666666666688</v>
      </c>
      <c r="U15" s="2">
        <v>31.441793506237648</v>
      </c>
    </row>
    <row r="16" spans="2:21" x14ac:dyDescent="0.3">
      <c r="C16" t="s">
        <v>12</v>
      </c>
      <c r="D16" s="7">
        <v>162</v>
      </c>
      <c r="E16" s="7">
        <v>392</v>
      </c>
      <c r="F16" s="2">
        <v>16.270527035102461</v>
      </c>
      <c r="G16" s="7">
        <v>18</v>
      </c>
      <c r="H16" s="7">
        <v>3120.5</v>
      </c>
      <c r="I16" s="2">
        <v>14.905810947412412</v>
      </c>
      <c r="J16" s="7">
        <v>8</v>
      </c>
      <c r="K16" s="7">
        <v>288</v>
      </c>
      <c r="L16" s="2">
        <v>28.489332214006001</v>
      </c>
      <c r="M16" s="7" t="e">
        <v>#DIV/0!</v>
      </c>
      <c r="N16" s="7" t="e">
        <v>#DIV/0!</v>
      </c>
      <c r="O16" s="2" t="e">
        <v>#DIV/0!</v>
      </c>
      <c r="P16" s="7"/>
      <c r="Q16" s="7"/>
      <c r="R16" s="2"/>
      <c r="S16" s="7">
        <v>49.142857142857189</v>
      </c>
      <c r="T16" s="7">
        <v>1004.9523809523811</v>
      </c>
      <c r="U16" s="2">
        <v>29.774353057623255</v>
      </c>
    </row>
    <row r="17" spans="2:21" x14ac:dyDescent="0.3">
      <c r="C17" t="s">
        <v>22</v>
      </c>
      <c r="D17" s="7"/>
      <c r="E17" s="7"/>
      <c r="F17" s="2"/>
      <c r="G17" s="7"/>
      <c r="H17" s="7"/>
      <c r="I17" s="2"/>
      <c r="J17" s="7" t="e">
        <v>#DIV/0!</v>
      </c>
      <c r="K17" s="7" t="e">
        <v>#DIV/0!</v>
      </c>
      <c r="L17" s="2" t="e">
        <v>#DIV/0!</v>
      </c>
      <c r="M17" s="7">
        <v>412.33333333333337</v>
      </c>
      <c r="N17" s="7">
        <v>256</v>
      </c>
      <c r="O17" s="2">
        <v>33.344950642238679</v>
      </c>
      <c r="P17" s="7"/>
      <c r="Q17" s="7"/>
      <c r="R17" s="2"/>
      <c r="S17" s="7">
        <v>312.91666666666669</v>
      </c>
      <c r="T17" s="7">
        <v>179.66666666666666</v>
      </c>
      <c r="U17" s="2">
        <v>30.47488952673439</v>
      </c>
    </row>
    <row r="18" spans="2:21" x14ac:dyDescent="0.3">
      <c r="B18" t="s">
        <v>46</v>
      </c>
      <c r="D18" s="7">
        <v>109.79999999999995</v>
      </c>
      <c r="E18" s="7">
        <v>677.2</v>
      </c>
      <c r="F18" s="2">
        <v>22.200394816308975</v>
      </c>
      <c r="G18" s="7">
        <v>192.70000000000005</v>
      </c>
      <c r="H18" s="7">
        <v>892.69999999999982</v>
      </c>
      <c r="I18" s="2">
        <v>27.825455072648868</v>
      </c>
      <c r="J18" s="7">
        <v>6.25</v>
      </c>
      <c r="K18" s="7">
        <v>624.25</v>
      </c>
      <c r="L18" s="2">
        <v>26.353725859291067</v>
      </c>
      <c r="M18" s="7">
        <v>174.47619047619051</v>
      </c>
      <c r="N18" s="7">
        <v>481</v>
      </c>
      <c r="O18" s="2">
        <v>28.195803976917595</v>
      </c>
      <c r="P18" s="7"/>
      <c r="Q18" s="7"/>
      <c r="R18" s="2"/>
      <c r="S18" s="7">
        <v>132.41428571428568</v>
      </c>
      <c r="T18" s="7">
        <v>688.99047619047633</v>
      </c>
      <c r="U18" s="2">
        <v>29.18766665497439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9FE9-9BAC-45B2-B882-0ED9CBA80AD3}">
  <dimension ref="B4:Q18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15" width="16.88671875" bestFit="1" customWidth="1"/>
    <col min="16" max="17" width="21.5546875" bestFit="1" customWidth="1"/>
  </cols>
  <sheetData>
    <row r="4" spans="2:17" x14ac:dyDescent="0.3">
      <c r="D4" s="4" t="s">
        <v>1</v>
      </c>
      <c r="E4" s="4" t="s">
        <v>32</v>
      </c>
    </row>
    <row r="5" spans="2:17" x14ac:dyDescent="0.3">
      <c r="D5" t="s">
        <v>21</v>
      </c>
      <c r="F5" t="s">
        <v>20</v>
      </c>
      <c r="H5" t="s">
        <v>17</v>
      </c>
      <c r="J5" t="s">
        <v>3</v>
      </c>
      <c r="L5" t="s">
        <v>14</v>
      </c>
      <c r="N5" t="s">
        <v>25</v>
      </c>
      <c r="P5" t="s">
        <v>71</v>
      </c>
      <c r="Q5" t="s">
        <v>51</v>
      </c>
    </row>
    <row r="6" spans="2:17" x14ac:dyDescent="0.3">
      <c r="B6" s="4" t="s">
        <v>9</v>
      </c>
      <c r="C6" s="4" t="s">
        <v>0</v>
      </c>
      <c r="D6" t="s">
        <v>70</v>
      </c>
      <c r="E6" t="s">
        <v>35</v>
      </c>
      <c r="F6" t="s">
        <v>70</v>
      </c>
      <c r="G6" t="s">
        <v>35</v>
      </c>
      <c r="H6" t="s">
        <v>70</v>
      </c>
      <c r="I6" t="s">
        <v>35</v>
      </c>
      <c r="J6" t="s">
        <v>70</v>
      </c>
      <c r="K6" t="s">
        <v>35</v>
      </c>
      <c r="L6" t="s">
        <v>70</v>
      </c>
      <c r="M6" t="s">
        <v>35</v>
      </c>
      <c r="N6" t="s">
        <v>70</v>
      </c>
      <c r="O6" t="s">
        <v>35</v>
      </c>
    </row>
    <row r="7" spans="2:17" x14ac:dyDescent="0.3">
      <c r="B7" t="s">
        <v>16</v>
      </c>
      <c r="D7" s="7">
        <v>1030.0887499999999</v>
      </c>
      <c r="E7" s="7">
        <v>6.7785378485409808E+20</v>
      </c>
      <c r="F7" s="7">
        <v>3143.15</v>
      </c>
      <c r="G7" s="7">
        <v>27499138206.462002</v>
      </c>
      <c r="H7" s="7">
        <v>747.26200000000006</v>
      </c>
      <c r="I7" s="7">
        <v>156737424683334.94</v>
      </c>
      <c r="J7" s="7">
        <v>1218.9333333333334</v>
      </c>
      <c r="K7" s="7">
        <v>4.8997803520062352E+16</v>
      </c>
      <c r="L7" s="7">
        <v>1214.0314285714285</v>
      </c>
      <c r="M7" s="7">
        <v>4.7937679340677104E+19</v>
      </c>
      <c r="N7" s="7">
        <v>1100.0466666666666</v>
      </c>
      <c r="O7" s="7">
        <v>4.456820926878228E+16</v>
      </c>
      <c r="P7" s="7">
        <v>1251.959142857143</v>
      </c>
      <c r="Q7" s="7">
        <v>3.0584868550747916E+98</v>
      </c>
    </row>
    <row r="8" spans="2:17" x14ac:dyDescent="0.3">
      <c r="C8" t="s">
        <v>26</v>
      </c>
      <c r="D8" s="7">
        <v>1086.17</v>
      </c>
      <c r="E8" s="7">
        <v>39976302.12156</v>
      </c>
      <c r="F8" s="7">
        <v>2599.7250000000004</v>
      </c>
      <c r="G8" s="7">
        <v>6500978.2994000008</v>
      </c>
      <c r="H8" s="7">
        <v>1046.355</v>
      </c>
      <c r="I8" s="7">
        <v>1017238.04</v>
      </c>
      <c r="J8" s="7">
        <v>2865.1400000000003</v>
      </c>
      <c r="K8" s="7">
        <v>7600907.9872000003</v>
      </c>
      <c r="L8" s="7"/>
      <c r="M8" s="7"/>
      <c r="N8" s="7"/>
      <c r="O8" s="7"/>
      <c r="P8" s="7">
        <v>1808.9944444444445</v>
      </c>
      <c r="Q8" s="7">
        <v>2.0094139021488177E+27</v>
      </c>
    </row>
    <row r="9" spans="2:17" x14ac:dyDescent="0.3">
      <c r="C9" t="s">
        <v>19</v>
      </c>
      <c r="D9" s="7">
        <v>1484.0933333333332</v>
      </c>
      <c r="E9" s="7">
        <v>1555373696.3729999</v>
      </c>
      <c r="F9" s="7">
        <v>4230</v>
      </c>
      <c r="G9" s="7">
        <v>4230</v>
      </c>
      <c r="H9" s="7">
        <v>715.4</v>
      </c>
      <c r="I9" s="7">
        <v>715.4</v>
      </c>
      <c r="J9" s="7">
        <v>925.05</v>
      </c>
      <c r="K9" s="7">
        <v>925.05</v>
      </c>
      <c r="L9" s="7">
        <v>149.59</v>
      </c>
      <c r="M9" s="7">
        <v>15238.608</v>
      </c>
      <c r="N9" s="7">
        <v>876.28000000000009</v>
      </c>
      <c r="O9" s="7">
        <v>259683.00150000001</v>
      </c>
      <c r="P9" s="7">
        <v>1237.4469999999997</v>
      </c>
      <c r="Q9" s="7">
        <v>1.722971446909413E+28</v>
      </c>
    </row>
    <row r="10" spans="2:17" x14ac:dyDescent="0.3">
      <c r="C10" t="s">
        <v>24</v>
      </c>
      <c r="D10" s="7"/>
      <c r="E10" s="7"/>
      <c r="F10" s="7"/>
      <c r="G10" s="7"/>
      <c r="H10" s="7">
        <v>460.8</v>
      </c>
      <c r="I10" s="7">
        <v>460.8</v>
      </c>
      <c r="J10" s="7">
        <v>214.2</v>
      </c>
      <c r="K10" s="7">
        <v>214.2</v>
      </c>
      <c r="L10" s="7">
        <v>1263.075</v>
      </c>
      <c r="M10" s="7">
        <v>1564510.8024000002</v>
      </c>
      <c r="N10" s="7">
        <v>1236.3800000000001</v>
      </c>
      <c r="O10" s="7">
        <v>124647.4944</v>
      </c>
      <c r="P10" s="7">
        <v>945.65166666666664</v>
      </c>
      <c r="Q10" s="7">
        <v>1.9248374332665164E+16</v>
      </c>
    </row>
    <row r="11" spans="2:17" x14ac:dyDescent="0.3">
      <c r="C11" t="s">
        <v>10</v>
      </c>
      <c r="D11" s="7">
        <v>264.96000000000004</v>
      </c>
      <c r="E11" s="7">
        <v>10901.811200000002</v>
      </c>
      <c r="F11" s="7"/>
      <c r="G11" s="7"/>
      <c r="H11" s="7">
        <v>467.4</v>
      </c>
      <c r="I11" s="7">
        <v>467.4</v>
      </c>
      <c r="J11" s="7">
        <v>92.55</v>
      </c>
      <c r="K11" s="7">
        <v>92.55</v>
      </c>
      <c r="L11" s="7">
        <v>843.6450000000001</v>
      </c>
      <c r="M11" s="7">
        <v>504497.98080000008</v>
      </c>
      <c r="N11" s="7">
        <v>1187.48</v>
      </c>
      <c r="O11" s="7">
        <v>1376886.3975</v>
      </c>
      <c r="P11" s="7">
        <v>644.01499999999999</v>
      </c>
      <c r="Q11" s="7">
        <v>3.2758298014798466E+20</v>
      </c>
    </row>
    <row r="12" spans="2:17" x14ac:dyDescent="0.3">
      <c r="C12" t="s">
        <v>30</v>
      </c>
      <c r="D12" s="7"/>
      <c r="E12" s="7"/>
      <c r="F12" s="7"/>
      <c r="G12" s="7"/>
      <c r="H12" s="7"/>
      <c r="I12" s="7"/>
      <c r="J12" s="7">
        <v>351.52</v>
      </c>
      <c r="K12" s="7">
        <v>351.52</v>
      </c>
      <c r="L12" s="7">
        <v>3985.6</v>
      </c>
      <c r="M12" s="7">
        <v>3985.6</v>
      </c>
      <c r="N12" s="7"/>
      <c r="O12" s="7"/>
      <c r="P12" s="7">
        <v>2168.56</v>
      </c>
      <c r="Q12" s="7">
        <v>1401018.112</v>
      </c>
    </row>
    <row r="13" spans="2:17" x14ac:dyDescent="0.3">
      <c r="B13" t="s">
        <v>13</v>
      </c>
      <c r="D13" s="7">
        <v>2045.6457142857141</v>
      </c>
      <c r="E13" s="7">
        <v>4.1470737927536771E+21</v>
      </c>
      <c r="F13" s="7">
        <v>1374.5133333333333</v>
      </c>
      <c r="G13" s="7">
        <v>6.0872529169137952E+16</v>
      </c>
      <c r="H13" s="7">
        <v>1321.92625</v>
      </c>
      <c r="I13" s="7">
        <v>8.6974381357307838E+23</v>
      </c>
      <c r="J13" s="7">
        <v>574.09999999999991</v>
      </c>
      <c r="K13" s="7">
        <v>62804631.601439998</v>
      </c>
      <c r="L13" s="7">
        <v>1384.6299999999999</v>
      </c>
      <c r="M13" s="7">
        <v>1957071207.02016</v>
      </c>
      <c r="N13" s="7">
        <v>1895.278571428571</v>
      </c>
      <c r="O13" s="7">
        <v>4.2127777232768399E+21</v>
      </c>
      <c r="P13" s="7">
        <v>1537.7985294117648</v>
      </c>
      <c r="Q13" s="7">
        <v>1.1368974785470682E+101</v>
      </c>
    </row>
    <row r="14" spans="2:17" x14ac:dyDescent="0.3">
      <c r="C14" t="s">
        <v>26</v>
      </c>
      <c r="D14" s="7">
        <v>951.25666666666666</v>
      </c>
      <c r="E14" s="7">
        <v>67504787.255520001</v>
      </c>
      <c r="F14" s="7">
        <v>3439.52</v>
      </c>
      <c r="G14" s="7">
        <v>3439.52</v>
      </c>
      <c r="H14" s="7">
        <v>1001.045</v>
      </c>
      <c r="I14" s="7">
        <v>739870.28639999998</v>
      </c>
      <c r="J14" s="7">
        <v>975.9</v>
      </c>
      <c r="K14" s="7">
        <v>975.9</v>
      </c>
      <c r="L14" s="7">
        <v>691.52</v>
      </c>
      <c r="M14" s="7">
        <v>691.52</v>
      </c>
      <c r="N14" s="7">
        <v>2014.73</v>
      </c>
      <c r="O14" s="7">
        <v>739197.88800000004</v>
      </c>
      <c r="P14" s="7">
        <v>1399.2259999999999</v>
      </c>
      <c r="Q14" s="7">
        <v>8.5695650298238705E+28</v>
      </c>
    </row>
    <row r="15" spans="2:17" x14ac:dyDescent="0.3">
      <c r="C15" t="s">
        <v>19</v>
      </c>
      <c r="D15" s="7">
        <v>3260.52</v>
      </c>
      <c r="E15" s="7">
        <v>3260.52</v>
      </c>
      <c r="F15" s="7">
        <v>895.28</v>
      </c>
      <c r="G15" s="7">
        <v>138050.86679999999</v>
      </c>
      <c r="H15" s="7">
        <v>1726.8</v>
      </c>
      <c r="I15" s="7">
        <v>1726.8</v>
      </c>
      <c r="J15" s="7">
        <v>99.48</v>
      </c>
      <c r="K15" s="7">
        <v>99.48</v>
      </c>
      <c r="L15" s="7">
        <v>1322.65</v>
      </c>
      <c r="M15" s="7">
        <v>1322.65</v>
      </c>
      <c r="N15" s="7">
        <v>1026.27</v>
      </c>
      <c r="O15" s="7">
        <v>1026.27</v>
      </c>
      <c r="P15" s="7">
        <v>1318.0400000000002</v>
      </c>
      <c r="Q15" s="7">
        <v>1.0495675452431507E+20</v>
      </c>
    </row>
    <row r="16" spans="2:17" x14ac:dyDescent="0.3">
      <c r="C16" t="s">
        <v>24</v>
      </c>
      <c r="D16" s="7">
        <v>2735.0766666666664</v>
      </c>
      <c r="E16" s="7">
        <v>18841710291.081165</v>
      </c>
      <c r="F16" s="7">
        <v>1764.72</v>
      </c>
      <c r="G16" s="7">
        <v>1764.72</v>
      </c>
      <c r="H16" s="7">
        <v>1019.02</v>
      </c>
      <c r="I16" s="7">
        <v>947632.12199999997</v>
      </c>
      <c r="J16" s="7"/>
      <c r="K16" s="7"/>
      <c r="L16" s="7"/>
      <c r="M16" s="7"/>
      <c r="N16" s="7"/>
      <c r="O16" s="7"/>
      <c r="P16" s="7">
        <v>2001.3316666666663</v>
      </c>
      <c r="Q16" s="7">
        <v>3.1509093079986569E+19</v>
      </c>
    </row>
    <row r="17" spans="3:17" x14ac:dyDescent="0.3">
      <c r="C17" t="s">
        <v>10</v>
      </c>
      <c r="D17" s="7"/>
      <c r="E17" s="7"/>
      <c r="F17" s="7">
        <v>626.14</v>
      </c>
      <c r="G17" s="7">
        <v>72645.473999999987</v>
      </c>
      <c r="H17" s="7">
        <v>1602.8266666666666</v>
      </c>
      <c r="I17" s="7">
        <v>718379529.65624988</v>
      </c>
      <c r="J17" s="7">
        <v>646.91999999999996</v>
      </c>
      <c r="K17" s="7">
        <v>646.91999999999996</v>
      </c>
      <c r="L17" s="7">
        <v>2139.7199999999998</v>
      </c>
      <c r="M17" s="7">
        <v>2139.7199999999998</v>
      </c>
      <c r="N17" s="7">
        <v>2623.92</v>
      </c>
      <c r="O17" s="7">
        <v>16359031446.847486</v>
      </c>
      <c r="P17" s="7">
        <v>1671.9159999999999</v>
      </c>
      <c r="Q17" s="7">
        <v>1.1817554709053061E+30</v>
      </c>
    </row>
    <row r="18" spans="3:17" x14ac:dyDescent="0.3">
      <c r="C18" t="s">
        <v>30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339.46</v>
      </c>
      <c r="O18" s="7">
        <v>339.46</v>
      </c>
      <c r="P18" s="7">
        <v>339.46</v>
      </c>
      <c r="Q18" s="7">
        <v>339.46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52C1-757A-4624-9352-832C90F6AA82}">
  <dimension ref="B4:J1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23.44140625" bestFit="1" customWidth="1"/>
    <col min="5" max="5" width="14.6640625" bestFit="1" customWidth="1"/>
    <col min="6" max="6" width="23.44140625" bestFit="1" customWidth="1"/>
    <col min="7" max="7" width="14.6640625" bestFit="1" customWidth="1"/>
    <col min="8" max="8" width="23.44140625" bestFit="1" customWidth="1"/>
    <col min="9" max="9" width="19.21875" bestFit="1" customWidth="1"/>
    <col min="10" max="10" width="28" bestFit="1" customWidth="1"/>
  </cols>
  <sheetData>
    <row r="4" spans="2:10" x14ac:dyDescent="0.3">
      <c r="C4" s="4" t="s">
        <v>29</v>
      </c>
    </row>
    <row r="5" spans="2:10" x14ac:dyDescent="0.3">
      <c r="C5" t="s">
        <v>15</v>
      </c>
      <c r="E5" t="s">
        <v>12</v>
      </c>
      <c r="G5" t="s">
        <v>22</v>
      </c>
      <c r="I5" t="s">
        <v>48</v>
      </c>
      <c r="J5" t="s">
        <v>72</v>
      </c>
    </row>
    <row r="6" spans="2:10" x14ac:dyDescent="0.3">
      <c r="B6" s="4" t="s">
        <v>27</v>
      </c>
      <c r="C6" t="s">
        <v>47</v>
      </c>
      <c r="D6" t="s">
        <v>73</v>
      </c>
      <c r="E6" t="s">
        <v>47</v>
      </c>
      <c r="F6" t="s">
        <v>73</v>
      </c>
      <c r="G6" t="s">
        <v>47</v>
      </c>
      <c r="H6" t="s">
        <v>73</v>
      </c>
    </row>
    <row r="7" spans="2:10" x14ac:dyDescent="0.3">
      <c r="B7" s="5" t="s">
        <v>25</v>
      </c>
      <c r="C7" s="7">
        <v>105850800</v>
      </c>
      <c r="D7" s="7">
        <v>6</v>
      </c>
      <c r="E7" s="7">
        <v>295</v>
      </c>
      <c r="F7" s="7">
        <v>2</v>
      </c>
      <c r="G7" s="7">
        <v>177024120</v>
      </c>
      <c r="H7" s="7">
        <v>5</v>
      </c>
      <c r="I7" s="7">
        <v>5.5277526927823196E+18</v>
      </c>
      <c r="J7" s="7">
        <v>13</v>
      </c>
    </row>
    <row r="8" spans="2:10" x14ac:dyDescent="0.3">
      <c r="B8" s="5" t="s">
        <v>14</v>
      </c>
      <c r="C8" s="7">
        <v>146146</v>
      </c>
      <c r="D8" s="7">
        <v>4</v>
      </c>
      <c r="E8" s="7">
        <v>2053440</v>
      </c>
      <c r="F8" s="7">
        <v>4</v>
      </c>
      <c r="G8" s="7">
        <v>6390</v>
      </c>
      <c r="H8" s="7">
        <v>2</v>
      </c>
      <c r="I8" s="7">
        <v>1917652049913600</v>
      </c>
      <c r="J8" s="7">
        <v>10</v>
      </c>
    </row>
    <row r="9" spans="2:10" x14ac:dyDescent="0.3">
      <c r="B9" s="5" t="s">
        <v>3</v>
      </c>
      <c r="C9" s="7">
        <v>840</v>
      </c>
      <c r="D9" s="7">
        <v>2</v>
      </c>
      <c r="E9" s="7">
        <v>669863376</v>
      </c>
      <c r="F9" s="7">
        <v>5</v>
      </c>
      <c r="G9" s="7">
        <v>1595</v>
      </c>
      <c r="H9" s="7">
        <v>2</v>
      </c>
      <c r="I9" s="7">
        <v>897482951164800</v>
      </c>
      <c r="J9" s="7">
        <v>9</v>
      </c>
    </row>
    <row r="10" spans="2:10" x14ac:dyDescent="0.3">
      <c r="B10" s="5" t="s">
        <v>17</v>
      </c>
      <c r="C10" s="7">
        <v>1062665049600</v>
      </c>
      <c r="D10" s="7">
        <v>7</v>
      </c>
      <c r="E10" s="7">
        <v>11971915200</v>
      </c>
      <c r="F10" s="7">
        <v>6</v>
      </c>
      <c r="G10" s="7"/>
      <c r="H10" s="7"/>
      <c r="I10" s="7">
        <v>1.2722135859814994E+22</v>
      </c>
      <c r="J10" s="7">
        <v>13</v>
      </c>
    </row>
    <row r="11" spans="2:10" x14ac:dyDescent="0.3">
      <c r="B11" s="5" t="s">
        <v>20</v>
      </c>
      <c r="C11" s="7">
        <v>1870000</v>
      </c>
      <c r="D11" s="7">
        <v>4</v>
      </c>
      <c r="E11" s="7">
        <v>138600</v>
      </c>
      <c r="F11" s="7">
        <v>3</v>
      </c>
      <c r="G11" s="7">
        <v>735816</v>
      </c>
      <c r="H11" s="7">
        <v>2</v>
      </c>
      <c r="I11" s="7">
        <v>1.90710262512E+17</v>
      </c>
      <c r="J11" s="7">
        <v>9</v>
      </c>
    </row>
    <row r="12" spans="2:10" x14ac:dyDescent="0.3">
      <c r="B12" s="5" t="s">
        <v>21</v>
      </c>
      <c r="C12" s="7">
        <v>248010070</v>
      </c>
      <c r="D12" s="7">
        <v>6</v>
      </c>
      <c r="E12" s="7">
        <v>4739846400</v>
      </c>
      <c r="F12" s="7">
        <v>6</v>
      </c>
      <c r="G12" s="7">
        <v>174988</v>
      </c>
      <c r="H12" s="7">
        <v>3</v>
      </c>
      <c r="I12" s="7">
        <v>2.0570358019866896E+23</v>
      </c>
      <c r="J12" s="7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3FDE-2B6D-40DA-AEB6-D886ABD1253B}">
  <dimension ref="B4:C5"/>
  <sheetViews>
    <sheetView workbookViewId="0"/>
  </sheetViews>
  <sheetFormatPr defaultRowHeight="14.4" x14ac:dyDescent="0.3"/>
  <cols>
    <col min="2" max="2" width="10.5546875" bestFit="1" customWidth="1"/>
    <col min="3" max="3" width="16.88671875" bestFit="1" customWidth="1"/>
  </cols>
  <sheetData>
    <row r="4" spans="2:3" x14ac:dyDescent="0.3">
      <c r="B4" t="s">
        <v>74</v>
      </c>
      <c r="C4" t="s">
        <v>70</v>
      </c>
    </row>
    <row r="5" spans="2:3" x14ac:dyDescent="0.3">
      <c r="B5" s="2">
        <v>2.1</v>
      </c>
      <c r="C5" s="7">
        <v>1392.8075362318846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2026-10-11T08:30:04Z</dcterms:created>
  <dcterms:modified xsi:type="dcterms:W3CDTF">2026-10-11T08:30:17Z</dcterms:modified>
</cp:coreProperties>
</file>