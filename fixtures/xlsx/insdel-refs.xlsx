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open365\starter\fixtures\xlsx\"/>
    </mc:Choice>
  </mc:AlternateContent>
  <xr:revisionPtr revIDLastSave="0" documentId="8_{E76784A0-2EEC-4F47-9BF7-8721E6F8A1EA}" xr6:coauthVersionLast="47" xr6:coauthVersionMax="47" xr10:uidLastSave="{00000000-0000-0000-0000-000000000000}"/>
  <bookViews>
    <workbookView xWindow="-108" yWindow="-108" windowWidth="23256" windowHeight="13896" xr2:uid="{CEDF6647-FF24-43A0-AA06-3A75153F49F5}"/>
  </bookViews>
  <sheets>
    <sheet name="S" sheetId="1" r:id="rId1"/>
    <sheet name="O" sheetId="2" r:id="rId2"/>
    <sheet name="Q R" sheetId="3" r:id="rId3"/>
  </sheets>
  <definedNames>
    <definedName name="CalcNm">S!$C$3*2+O!$B$1</definedName>
    <definedName name="CellOne">S!$C$3</definedName>
    <definedName name="RelRng">S!C3:C5</definedName>
    <definedName name="RngAll">S!$C$3:$F$9</definedName>
    <definedName name="ScopedNm" localSheetId="0">S!$D$4:$D$8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3" l="1"/>
  <c r="A1" i="3"/>
  <c r="A13" i="2"/>
  <c r="A12" i="2"/>
  <c r="A11" i="2"/>
  <c r="A9" i="2"/>
  <c r="A8" i="2"/>
  <c r="A7" i="2"/>
  <c r="A6" i="2"/>
  <c r="A4" i="2"/>
  <c r="A3" i="2"/>
  <c r="A2" i="2"/>
  <c r="A1" i="2"/>
  <c r="N29" i="1" s="1"/>
  <c r="N34" i="1"/>
  <c r="N33" i="1"/>
  <c r="N32" i="1"/>
  <c r="N31" i="1"/>
  <c r="N30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A5" i="2" s="1"/>
  <c r="N2" i="1"/>
  <c r="N1" i="1"/>
  <c r="A10" i="2" s="1"/>
  <c r="P40" i="1" a="1"/>
  <c r="P40" i="1" s="1"/>
  <c r="N35" i="1" l="1"/>
  <c r="P42" i="1"/>
  <c r="P41" i="1"/>
</calcChain>
</file>

<file path=xl/sharedStrings.xml><?xml version="1.0" encoding="utf-8"?>
<sst xmlns="http://schemas.openxmlformats.org/spreadsheetml/2006/main" count="3" uniqueCount="3">
  <si>
    <t>Col1</t>
  </si>
  <si>
    <t>Col2</t>
  </si>
  <si>
    <t>Col3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</si>
</sst>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3"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2D2DF1-A408-4329-A32F-4C86E481B67A}" name="Tbl" displayName="Tbl" ref="C20:E24" totalsRowShown="0">
  <autoFilter ref="C20:E24" xr:uid="{832D2DF1-A408-4329-A32F-4C86E481B67A}"/>
  <tableColumns count="3">
    <tableColumn id="1" xr3:uid="{CD0D01F7-A8F4-491C-83DF-D287B8F86840}" name="Col1"/>
    <tableColumn id="2" xr3:uid="{349C4607-B89B-41FA-A8F8-106815C7375D}" name="Col2"/>
    <tableColumn id="3" xr3:uid="{D426E67A-F3A8-43D9-A2AF-C30DAAA0F324}" name="Col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A9ECE-7BE9-4E1E-B14A-8CA71595A512}">
  <dimension ref="A1:P42"/>
  <sheetViews>
    <sheetView tabSelected="1" workbookViewId="0">
      <selection activeCell="L14" sqref="L14"/>
    </sheetView>
  </sheetViews>
  <sheetFormatPr defaultRowHeight="14.4" x14ac:dyDescent="0.3"/>
  <sheetData>
    <row r="1" spans="1:14" x14ac:dyDescent="0.3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N1">
        <f>C3</f>
        <v>33</v>
      </c>
    </row>
    <row r="2" spans="1:14" x14ac:dyDescent="0.3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N2">
        <f>$C$3</f>
        <v>33</v>
      </c>
    </row>
    <row r="3" spans="1:14" x14ac:dyDescent="0.3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N3">
        <f>$C3</f>
        <v>33</v>
      </c>
    </row>
    <row r="4" spans="1:14" x14ac:dyDescent="0.3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N4">
        <f>C$3</f>
        <v>33</v>
      </c>
    </row>
    <row r="5" spans="1:14" x14ac:dyDescent="0.3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N5">
        <f>SUM(C3:F9)</f>
        <v>1806</v>
      </c>
    </row>
    <row r="6" spans="1:14" x14ac:dyDescent="0.3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N6">
        <f>SUM($C$3:$F$9)</f>
        <v>1806</v>
      </c>
    </row>
    <row r="7" spans="1:14" x14ac:dyDescent="0.3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N7">
        <f>SUM(C:C)</f>
        <v>9828</v>
      </c>
    </row>
    <row r="8" spans="1:14" x14ac:dyDescent="0.3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N8">
        <f>SUM(3:5)</f>
        <v>2940</v>
      </c>
    </row>
    <row r="9" spans="1:14" x14ac:dyDescent="0.3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N9">
        <f>SUM(C:E)</f>
        <v>29532</v>
      </c>
    </row>
    <row r="10" spans="1:14" x14ac:dyDescent="0.3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N10">
        <f>SUM(C3:C9)</f>
        <v>441</v>
      </c>
    </row>
    <row r="11" spans="1:14" x14ac:dyDescent="0.3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N11">
        <f>C3+F9</f>
        <v>129</v>
      </c>
    </row>
    <row r="12" spans="1:14" x14ac:dyDescent="0.3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N12">
        <f>SUM(C3,F9)</f>
        <v>129</v>
      </c>
    </row>
    <row r="13" spans="1:14" x14ac:dyDescent="0.3">
      <c r="N13">
        <f>SUM(C3:F3)</f>
        <v>138</v>
      </c>
    </row>
    <row r="14" spans="1:14" x14ac:dyDescent="0.3">
      <c r="B14" s="1"/>
      <c r="C14" s="1"/>
      <c r="N14">
        <f>INDEX(C3:F9,2,2)</f>
        <v>44</v>
      </c>
    </row>
    <row r="15" spans="1:14" x14ac:dyDescent="0.3">
      <c r="B15" s="1"/>
      <c r="C15" s="1"/>
      <c r="N15">
        <f ca="1">OFFSET(C3,1,1)</f>
        <v>44</v>
      </c>
    </row>
    <row r="16" spans="1:14" x14ac:dyDescent="0.3">
      <c r="N16">
        <f>SUM((C3:C5,E3:E5))</f>
        <v>264</v>
      </c>
    </row>
    <row r="17" spans="3:14" x14ac:dyDescent="0.3">
      <c r="N17">
        <f>SUM(D4:E8 C5:F6)</f>
        <v>238</v>
      </c>
    </row>
    <row r="18" spans="3:14" x14ac:dyDescent="0.3">
      <c r="N18">
        <f>SUM(RngAll)</f>
        <v>1806</v>
      </c>
    </row>
    <row r="19" spans="3:14" x14ac:dyDescent="0.3">
      <c r="N19">
        <f>SUM(RelRng)</f>
        <v>0</v>
      </c>
    </row>
    <row r="20" spans="3:14" x14ac:dyDescent="0.3">
      <c r="C20" t="s">
        <v>0</v>
      </c>
      <c r="D20" t="s">
        <v>1</v>
      </c>
      <c r="E20" t="s">
        <v>2</v>
      </c>
      <c r="N20">
        <f>CellOne+1</f>
        <v>34</v>
      </c>
    </row>
    <row r="21" spans="3:14" x14ac:dyDescent="0.3">
      <c r="C21">
        <v>2103</v>
      </c>
      <c r="D21">
        <v>2104</v>
      </c>
      <c r="E21">
        <v>2105</v>
      </c>
      <c r="N21">
        <f>CalcNm</f>
        <v>67</v>
      </c>
    </row>
    <row r="22" spans="3:14" x14ac:dyDescent="0.3">
      <c r="C22">
        <v>2203</v>
      </c>
      <c r="D22">
        <v>2204</v>
      </c>
      <c r="E22">
        <v>2205</v>
      </c>
      <c r="N22">
        <f>S!C3</f>
        <v>33</v>
      </c>
    </row>
    <row r="23" spans="3:14" x14ac:dyDescent="0.3">
      <c r="C23">
        <v>2303</v>
      </c>
      <c r="D23">
        <v>2304</v>
      </c>
      <c r="E23">
        <v>2305</v>
      </c>
      <c r="N23">
        <f>SUM(S!C3:F9)</f>
        <v>1806</v>
      </c>
    </row>
    <row r="24" spans="3:14" x14ac:dyDescent="0.3">
      <c r="C24">
        <v>2403</v>
      </c>
      <c r="D24">
        <v>2404</v>
      </c>
      <c r="E24">
        <v>2405</v>
      </c>
      <c r="N24">
        <f>ROW(C5)</f>
        <v>5</v>
      </c>
    </row>
    <row r="25" spans="3:14" x14ac:dyDescent="0.3">
      <c r="N25">
        <f>COLUMN(F9)</f>
        <v>6</v>
      </c>
    </row>
    <row r="26" spans="3:14" x14ac:dyDescent="0.3">
      <c r="N26">
        <f>SUM(Tbl[Col2])</f>
        <v>9016</v>
      </c>
    </row>
    <row r="27" spans="3:14" x14ac:dyDescent="0.3">
      <c r="N27">
        <f>ROWS(Tbl[])</f>
        <v>4</v>
      </c>
    </row>
    <row r="28" spans="3:14" x14ac:dyDescent="0.3">
      <c r="N28">
        <f>SUM(O!B1:B3)</f>
        <v>6</v>
      </c>
    </row>
    <row r="29" spans="3:14" x14ac:dyDescent="0.3">
      <c r="N29">
        <f>O!A1</f>
        <v>33</v>
      </c>
    </row>
    <row r="30" spans="3:14" x14ac:dyDescent="0.3">
      <c r="N30">
        <f>SUM(ScopedNm)</f>
        <v>320</v>
      </c>
    </row>
    <row r="31" spans="3:14" x14ac:dyDescent="0.3">
      <c r="N31">
        <f>SUM(C3:C9)</f>
        <v>441</v>
      </c>
    </row>
    <row r="32" spans="3:14" x14ac:dyDescent="0.3">
      <c r="N32">
        <f>SUM($C3:F$9)</f>
        <v>1806</v>
      </c>
    </row>
    <row r="33" spans="14:16" x14ac:dyDescent="0.3">
      <c r="N33">
        <f>SUM(A1:H12)</f>
        <v>6672</v>
      </c>
    </row>
    <row r="34" spans="14:16" x14ac:dyDescent="0.3">
      <c r="N34">
        <f>SUM(A:H)</f>
        <v>33720</v>
      </c>
    </row>
    <row r="35" spans="14:16" x14ac:dyDescent="0.3">
      <c r="N35">
        <f>SUM(1:12)</f>
        <v>53415</v>
      </c>
    </row>
    <row r="40" spans="14:16" x14ac:dyDescent="0.3">
      <c r="P40">
        <f t="array" ref="P40:P42">C3:C5*2</f>
        <v>66</v>
      </c>
    </row>
    <row r="41" spans="14:16" x14ac:dyDescent="0.3">
      <c r="P41">
        <v>86</v>
      </c>
    </row>
    <row r="42" spans="14:16" x14ac:dyDescent="0.3">
      <c r="P42">
        <v>106</v>
      </c>
    </row>
  </sheetData>
  <mergeCells count="1">
    <mergeCell ref="B14:C15"/>
  </mergeCells>
  <conditionalFormatting sqref="C3:F9">
    <cfRule type="expression" dxfId="2" priority="1" stopIfTrue="1">
      <formula>C3&gt;40</formula>
    </cfRule>
  </conditionalFormatting>
  <conditionalFormatting sqref="H1:H12">
    <cfRule type="cellIs" dxfId="1" priority="2" stopIfTrue="1" operator="greaterThan">
      <formula>50</formula>
    </cfRule>
  </conditionalFormatting>
  <conditionalFormatting sqref="J2:J8">
    <cfRule type="expression" dxfId="0" priority="3" stopIfTrue="1">
      <formula>$C3&gt;40</formula>
    </cfRule>
  </conditionalFormatting>
  <dataValidations count="3">
    <dataValidation type="list" allowBlank="1" showInputMessage="1" showErrorMessage="1" sqref="A14:A16" xr:uid="{F1F8374D-E897-49CD-B3D1-DB9B6221431A}">
      <formula1>$C$3:$C$9</formula1>
    </dataValidation>
    <dataValidation type="whole" allowBlank="1" showInputMessage="1" showErrorMessage="1" sqref="D14:D16" xr:uid="{065F4C95-D327-48E1-8ACF-CCB8541B2062}">
      <formula1>$C$3</formula1>
      <formula2>$F$9</formula2>
    </dataValidation>
    <dataValidation type="custom" allowBlank="1" showInputMessage="1" showErrorMessage="1" sqref="L14:L16" xr:uid="{D3733369-1CCB-498D-B0D5-079892C34530}">
      <formula1>C3&gt;0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B473F-EFD5-4818-A6F7-A6354C16E640}">
  <dimension ref="A1:B14"/>
  <sheetViews>
    <sheetView workbookViewId="0"/>
  </sheetViews>
  <sheetFormatPr defaultRowHeight="14.4" x14ac:dyDescent="0.3"/>
  <sheetData>
    <row r="1" spans="1:2" x14ac:dyDescent="0.3">
      <c r="A1">
        <f>S!C3</f>
        <v>33</v>
      </c>
      <c r="B1">
        <v>1</v>
      </c>
    </row>
    <row r="2" spans="1:2" x14ac:dyDescent="0.3">
      <c r="A2">
        <f>SUM(S!C3:F9)</f>
        <v>1806</v>
      </c>
      <c r="B2">
        <v>2</v>
      </c>
    </row>
    <row r="3" spans="1:2" x14ac:dyDescent="0.3">
      <c r="A3">
        <f>S!$C$3</f>
        <v>33</v>
      </c>
      <c r="B3">
        <v>3</v>
      </c>
    </row>
    <row r="4" spans="1:2" x14ac:dyDescent="0.3">
      <c r="A4">
        <f>SUM(S!C:C)</f>
        <v>9828</v>
      </c>
    </row>
    <row r="5" spans="1:2" x14ac:dyDescent="0.3">
      <c r="A5">
        <f>SUM(S!3:5)</f>
        <v>2940</v>
      </c>
    </row>
    <row r="6" spans="1:2" x14ac:dyDescent="0.3">
      <c r="A6">
        <f>SUM(S!C3:F9)*2</f>
        <v>3612</v>
      </c>
    </row>
    <row r="7" spans="1:2" x14ac:dyDescent="0.3">
      <c r="A7">
        <f>SUM(RngAll)</f>
        <v>1806</v>
      </c>
    </row>
    <row r="8" spans="1:2" x14ac:dyDescent="0.3">
      <c r="A8">
        <f>B1</f>
        <v>1</v>
      </c>
    </row>
    <row r="9" spans="1:2" x14ac:dyDescent="0.3">
      <c r="A9">
        <f>SUM(S!ScopedNm)</f>
        <v>320</v>
      </c>
    </row>
    <row r="10" spans="1:2" x14ac:dyDescent="0.3">
      <c r="A10">
        <f>S!N1</f>
        <v>33</v>
      </c>
    </row>
    <row r="11" spans="1:2" x14ac:dyDescent="0.3">
      <c r="A11">
        <f>INDEX(S!C3:F9,2,2)</f>
        <v>44</v>
      </c>
    </row>
    <row r="12" spans="1:2" x14ac:dyDescent="0.3">
      <c r="A12">
        <f>SUM(S!C3:F9,S!A1)</f>
        <v>1817</v>
      </c>
    </row>
    <row r="13" spans="1:2" x14ac:dyDescent="0.3">
      <c r="A13">
        <f>SUM(S!C3:C5)+SUM(B1:B3)</f>
        <v>135</v>
      </c>
    </row>
    <row r="14" spans="1:2" x14ac:dyDescent="0.3">
      <c r="A14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DE5E2-25C8-4AB9-ABAF-45B542C20402}">
  <dimension ref="A1:B2"/>
  <sheetViews>
    <sheetView workbookViewId="0"/>
  </sheetViews>
  <sheetFormatPr defaultRowHeight="14.4" x14ac:dyDescent="0.3"/>
  <sheetData>
    <row r="1" spans="1:2" x14ac:dyDescent="0.3">
      <c r="A1">
        <f>S!C3+O!B1</f>
        <v>34</v>
      </c>
      <c r="B1">
        <v>5</v>
      </c>
    </row>
    <row r="2" spans="1:2" x14ac:dyDescent="0.3">
      <c r="A2">
        <f>SUM('Q R'!B1:B2)</f>
        <v>11</v>
      </c>
      <c r="B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</vt:lpstr>
      <vt:lpstr>O</vt:lpstr>
      <vt:lpstr>Q R</vt:lpstr>
      <vt:lpstr>CellOne</vt:lpstr>
      <vt:lpstr>RelRng</vt:lpstr>
      <vt:lpstr>RngAll</vt:lpstr>
      <vt:lpstr>S!ScopedNm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2026-10-11T07:54:25Z</dcterms:created>
  <dcterms:modified xsi:type="dcterms:W3CDTF">2026-10-11T07:54:27Z</dcterms:modified>
</cp:coreProperties>
</file>