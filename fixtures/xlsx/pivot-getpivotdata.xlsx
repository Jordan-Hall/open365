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B63C737-2E89-4F2D-8EBE-572C46A5E480}" xr6:coauthVersionLast="47" xr6:coauthVersionMax="47" xr10:uidLastSave="{00000000-0000-0000-0000-000000000000}"/>
  <bookViews>
    <workbookView xWindow="0" yWindow="0" windowWidth="19200" windowHeight="12000" xr2:uid="{FB8DD2F3-A107-4B51-BEAA-20C74EF4511E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</sheets>
  <calcPr calcId="191029"/>
  <pivotCaches>
    <pivotCache cacheId="94" r:id="rId8"/>
    <pivotCache cacheId="99" r:id="rId9"/>
    <pivotCache cacheId="105" r:id="rId10"/>
    <pivotCache cacheId="110" r:id="rId11"/>
    <pivotCache cacheId="115" r:id="rId12"/>
    <pivotCache cacheId="11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7" l="1"/>
  <c r="G7" i="7"/>
  <c r="G6" i="7"/>
  <c r="G5" i="7"/>
  <c r="G4" i="7"/>
  <c r="F6" i="6"/>
  <c r="F5" i="6"/>
  <c r="F4" i="6"/>
  <c r="F6" i="5"/>
  <c r="F5" i="5"/>
  <c r="F4" i="5"/>
  <c r="J9" i="4"/>
  <c r="J8" i="4"/>
  <c r="J7" i="4"/>
  <c r="J6" i="4"/>
  <c r="J5" i="4"/>
  <c r="J4" i="4"/>
  <c r="M11" i="3"/>
  <c r="M10" i="3"/>
  <c r="M9" i="3"/>
  <c r="M8" i="3"/>
  <c r="M7" i="3"/>
  <c r="M6" i="3"/>
  <c r="M5" i="3"/>
  <c r="M4" i="3"/>
  <c r="F16" i="2"/>
  <c r="F15" i="2"/>
  <c r="F14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<sst xmlns="http://schemas.openxmlformats.org/spreadsheetml/2006/main" count="473" uniqueCount="33">
  <si>
    <t>Region</t>
  </si>
  <si>
    <t>Product</t>
  </si>
  <si>
    <t>Channel</t>
  </si>
  <si>
    <t>Units</t>
  </si>
  <si>
    <t>Price</t>
  </si>
  <si>
    <t>Revenue</t>
  </si>
  <si>
    <t>Tier</t>
  </si>
  <si>
    <t>East</t>
  </si>
  <si>
    <t>Walnut</t>
  </si>
  <si>
    <t>Partner</t>
  </si>
  <si>
    <t>Bronze</t>
  </si>
  <si>
    <t>North</t>
  </si>
  <si>
    <t>Cherry</t>
  </si>
  <si>
    <t>Online</t>
  </si>
  <si>
    <t>Silver</t>
  </si>
  <si>
    <t>Gold</t>
  </si>
  <si>
    <t>West</t>
  </si>
  <si>
    <t>Apple</t>
  </si>
  <si>
    <t>South</t>
  </si>
  <si>
    <t>Retail</t>
  </si>
  <si>
    <t>Banana</t>
  </si>
  <si>
    <t>Row Labels</t>
  </si>
  <si>
    <t>Grand Total</t>
  </si>
  <si>
    <t>Sum of Units</t>
  </si>
  <si>
    <t>Column Labels</t>
  </si>
  <si>
    <t>Total Sum of Units</t>
  </si>
  <si>
    <t>Total Sum of Revenue</t>
  </si>
  <si>
    <t>Sum of Revenue</t>
  </si>
  <si>
    <t>East Total</t>
  </si>
  <si>
    <t>North Total</t>
  </si>
  <si>
    <t>South Total</t>
  </si>
  <si>
    <t>West Total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</si>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</sst>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97048611" createdVersion="8" refreshedVersion="8" minRefreshableVersion="3" recordCount="90" xr:uid="{0421E82A-3F96-4EE8-A5E6-04E74EC9D8EF}">
  <cacheSource type="worksheet">
    <worksheetSource ref="A1:G91" sheet="Data"/>
  </cacheSource>
  <cacheFields count="7">
    <cacheField name="Region" numFmtId="0">
      <sharedItems count="4">
        <s v="East"/>
        <s v="North"/>
        <s v="West"/>
        <s v="South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49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2" maxValue="1760"/>
    </cacheField>
    <cacheField name="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977314814" createdVersion="8" refreshedVersion="8" minRefreshableVersion="3" recordCount="90" xr:uid="{EB26A0B7-1DB6-4A9D-B5D7-7F4B12BA784F}">
  <cacheSource type="worksheet">
    <worksheetSource ref="A1:G91" sheet="Data"/>
  </cacheSource>
  <cacheFields count="7">
    <cacheField name="Region" numFmtId="0">
      <sharedItems count="4">
        <s v="East"/>
        <s v="North"/>
        <s v="West"/>
        <s v="South"/>
      </sharedItems>
    </cacheField>
    <cacheField name="Product" numFmtId="0">
      <sharedItems/>
    </cacheField>
    <cacheField name="Channel" numFmtId="0">
      <sharedItems count="3">
        <s v="Partner"/>
        <s v="Online"/>
        <s v="Retail"/>
      </sharedItems>
    </cacheField>
    <cacheField name="Units" numFmtId="0">
      <sharedItems containsSemiMixedTypes="0" containsString="0" containsNumber="1" containsInteger="1" minValue="1" maxValue="49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2" maxValue="1760"/>
    </cacheField>
    <cacheField name="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8987499998" createdVersion="8" refreshedVersion="8" minRefreshableVersion="3" recordCount="90" xr:uid="{CE5E92E9-83C5-4A61-A82F-EA89B147E3B6}">
  <cacheSource type="worksheet">
    <worksheetSource ref="A1:G91" sheet="Data"/>
  </cacheSource>
  <cacheFields count="7">
    <cacheField name="Region" numFmtId="0">
      <sharedItems count="4">
        <s v="East"/>
        <s v="North"/>
        <s v="West"/>
        <s v="South"/>
      </sharedItems>
    </cacheField>
    <cacheField name="Product" numFmtId="0">
      <sharedItems count="4">
        <s v="Walnut"/>
        <s v="Cherry"/>
        <s v="Apple"/>
        <s v="Banana"/>
      </sharedItems>
    </cacheField>
    <cacheField name="Channel" numFmtId="0">
      <sharedItems count="3">
        <s v="Partner"/>
        <s v="Online"/>
        <s v="Retail"/>
      </sharedItems>
    </cacheField>
    <cacheField name="Units" numFmtId="0">
      <sharedItems containsSemiMixedTypes="0" containsString="0" containsNumber="1" containsInteger="1" minValue="1" maxValue="49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2" maxValue="1760"/>
    </cacheField>
    <cacheField name="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9016087963" createdVersion="8" refreshedVersion="8" minRefreshableVersion="3" recordCount="90" xr:uid="{0451B6DF-5128-4AA5-8DF8-46E1AECE3AB9}">
  <cacheSource type="worksheet">
    <worksheetSource ref="A1:G91" sheet="Data"/>
  </cacheSource>
  <cacheFields count="7">
    <cacheField name="Region" numFmtId="0">
      <sharedItems count="4">
        <s v="East"/>
        <s v="North"/>
        <s v="West"/>
        <s v="South"/>
      </sharedItems>
    </cacheField>
    <cacheField name="Product" numFmtId="0">
      <sharedItems count="4">
        <s v="Walnut"/>
        <s v="Cherry"/>
        <s v="Apple"/>
        <s v="Banana"/>
      </sharedItems>
    </cacheField>
    <cacheField name="Channel" numFmtId="0">
      <sharedItems/>
    </cacheField>
    <cacheField name="Units" numFmtId="0">
      <sharedItems containsSemiMixedTypes="0" containsString="0" containsNumber="1" containsInteger="1" minValue="1" maxValue="49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2" maxValue="1760"/>
    </cacheField>
    <cacheField name="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902337963" createdVersion="8" refreshedVersion="8" minRefreshableVersion="3" recordCount="90" xr:uid="{5A413B15-1183-4157-A15C-BD80B9291DFF}">
  <cacheSource type="worksheet">
    <worksheetSource ref="A1:G91" sheet="Data"/>
  </cacheSource>
  <cacheFields count="7">
    <cacheField name="Region" numFmtId="0">
      <sharedItems count="4">
        <s v="East"/>
        <s v="North"/>
        <s v="West"/>
        <s v="South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49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2" maxValue="1760"/>
    </cacheField>
    <cacheField name="Tier" numFmtId="0">
      <sharedItems count="3">
        <s v="Bronze"/>
        <s v="Silve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9033333336" createdVersion="8" refreshedVersion="8" minRefreshableVersion="3" recordCount="90" xr:uid="{242A5BCA-684D-4D56-9AE2-3098E3AAE981}">
  <cacheSource type="worksheet">
    <worksheetSource ref="A1:G91" sheet="Data"/>
  </cacheSource>
  <cacheFields count="7">
    <cacheField name="Region" numFmtId="0">
      <sharedItems count="4">
        <s v="East"/>
        <s v="North"/>
        <s v="West"/>
        <s v="South"/>
      </sharedItems>
    </cacheField>
    <cacheField name="Product" numFmtId="0">
      <sharedItems/>
    </cacheField>
    <cacheField name="Channel" numFmtId="0">
      <sharedItems/>
    </cacheField>
    <cacheField name="Units" numFmtId="0">
      <sharedItems containsSemiMixedTypes="0" containsString="0" containsNumber="1" containsInteger="1" minValue="1" maxValue="49"/>
    </cacheField>
    <cacheField name="Price" numFmtId="0">
      <sharedItems containsSemiMixedTypes="0" containsString="0" containsNumber="1" containsInteger="1" minValue="1" maxValue="40"/>
    </cacheField>
    <cacheField name="Revenue" numFmtId="0">
      <sharedItems containsSemiMixedTypes="0" containsString="0" containsNumber="1" containsInteger="1" minValue="12" maxValue="1760"/>
    </cacheField>
    <cacheField name="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Partner"/>
    <n v="46"/>
    <n v="22"/>
    <n v="1012"/>
    <s v="Bronze"/>
  </r>
  <r>
    <x v="1"/>
    <s v="Cherry"/>
    <s v="Online"/>
    <n v="44"/>
    <n v="40"/>
    <n v="1760"/>
    <s v="Silver"/>
  </r>
  <r>
    <x v="1"/>
    <s v="Cherry"/>
    <s v="Partner"/>
    <n v="13"/>
    <n v="1"/>
    <n v="13"/>
    <s v="Gold"/>
  </r>
  <r>
    <x v="2"/>
    <s v="Apple"/>
    <s v="Partner"/>
    <n v="34"/>
    <n v="11"/>
    <n v="374"/>
    <s v="Gold"/>
  </r>
  <r>
    <x v="3"/>
    <s v="Walnut"/>
    <s v="Online"/>
    <n v="31"/>
    <n v="17"/>
    <n v="527"/>
    <s v="Silver"/>
  </r>
  <r>
    <x v="2"/>
    <s v="Apple"/>
    <s v="Online"/>
    <n v="15"/>
    <n v="34"/>
    <n v="510"/>
    <s v="Bronze"/>
  </r>
  <r>
    <x v="2"/>
    <s v="Cherry"/>
    <s v="Online"/>
    <n v="25"/>
    <n v="8"/>
    <n v="200"/>
    <s v="Silver"/>
  </r>
  <r>
    <x v="1"/>
    <s v="Apple"/>
    <s v="Retail"/>
    <n v="6"/>
    <n v="3"/>
    <n v="18"/>
    <s v="Bronze"/>
  </r>
  <r>
    <x v="3"/>
    <s v="Banana"/>
    <s v="Retail"/>
    <n v="7"/>
    <n v="30"/>
    <n v="210"/>
    <s v="Gold"/>
  </r>
  <r>
    <x v="2"/>
    <s v="Apple"/>
    <s v="Partner"/>
    <n v="19"/>
    <n v="3"/>
    <n v="57"/>
    <s v="Gold"/>
  </r>
  <r>
    <x v="3"/>
    <s v="Cherry"/>
    <s v="Retail"/>
    <n v="42"/>
    <n v="31"/>
    <n v="1302"/>
    <s v="Bronze"/>
  </r>
  <r>
    <x v="3"/>
    <s v="Banana"/>
    <s v="Online"/>
    <n v="37"/>
    <n v="20"/>
    <n v="740"/>
    <s v="Bronze"/>
  </r>
  <r>
    <x v="3"/>
    <s v="Cherry"/>
    <s v="Partner"/>
    <n v="35"/>
    <n v="4"/>
    <n v="140"/>
    <s v="Bronze"/>
  </r>
  <r>
    <x v="2"/>
    <s v="Apple"/>
    <s v="Online"/>
    <n v="5"/>
    <n v="24"/>
    <n v="120"/>
    <s v="Bronze"/>
  </r>
  <r>
    <x v="2"/>
    <s v="Cherry"/>
    <s v="Partner"/>
    <n v="40"/>
    <n v="18"/>
    <n v="720"/>
    <s v="Bronze"/>
  </r>
  <r>
    <x v="3"/>
    <s v="Walnut"/>
    <s v="Online"/>
    <n v="18"/>
    <n v="40"/>
    <n v="720"/>
    <s v="Gold"/>
  </r>
  <r>
    <x v="3"/>
    <s v="Apple"/>
    <s v="Online"/>
    <n v="31"/>
    <n v="12"/>
    <n v="372"/>
    <s v="Silver"/>
  </r>
  <r>
    <x v="0"/>
    <s v="Cherry"/>
    <s v="Retail"/>
    <n v="18"/>
    <n v="19"/>
    <n v="342"/>
    <s v="Bronze"/>
  </r>
  <r>
    <x v="1"/>
    <s v="Walnut"/>
    <s v="Online"/>
    <n v="19"/>
    <n v="25"/>
    <n v="475"/>
    <s v="Gold"/>
  </r>
  <r>
    <x v="0"/>
    <s v="Apple"/>
    <s v="Retail"/>
    <n v="1"/>
    <n v="22"/>
    <n v="22"/>
    <s v="Gold"/>
  </r>
  <r>
    <x v="0"/>
    <s v="Walnut"/>
    <s v="Online"/>
    <n v="18"/>
    <n v="37"/>
    <n v="666"/>
    <s v="Gold"/>
  </r>
  <r>
    <x v="0"/>
    <s v="Banana"/>
    <s v="Retail"/>
    <n v="24"/>
    <n v="31"/>
    <n v="744"/>
    <s v="Gold"/>
  </r>
  <r>
    <x v="0"/>
    <s v="Walnut"/>
    <s v="Partner"/>
    <n v="33"/>
    <n v="25"/>
    <n v="825"/>
    <s v="Silver"/>
  </r>
  <r>
    <x v="2"/>
    <s v="Cherry"/>
    <s v="Partner"/>
    <n v="48"/>
    <n v="17"/>
    <n v="816"/>
    <s v="Gold"/>
  </r>
  <r>
    <x v="3"/>
    <s v="Cherry"/>
    <s v="Partner"/>
    <n v="3"/>
    <n v="17"/>
    <n v="51"/>
    <s v="Gold"/>
  </r>
  <r>
    <x v="3"/>
    <s v="Banana"/>
    <s v="Online"/>
    <n v="27"/>
    <n v="39"/>
    <n v="1053"/>
    <s v="Silver"/>
  </r>
  <r>
    <x v="3"/>
    <s v="Walnut"/>
    <s v="Online"/>
    <n v="35"/>
    <n v="25"/>
    <n v="875"/>
    <s v="Gold"/>
  </r>
  <r>
    <x v="2"/>
    <s v="Cherry"/>
    <s v="Online"/>
    <n v="19"/>
    <n v="25"/>
    <n v="475"/>
    <s v="Bronze"/>
  </r>
  <r>
    <x v="1"/>
    <s v="Walnut"/>
    <s v="Online"/>
    <n v="4"/>
    <n v="7"/>
    <n v="28"/>
    <s v="Bronze"/>
  </r>
  <r>
    <x v="2"/>
    <s v="Walnut"/>
    <s v="Partner"/>
    <n v="7"/>
    <n v="15"/>
    <n v="105"/>
    <s v="Bronze"/>
  </r>
  <r>
    <x v="2"/>
    <s v="Apple"/>
    <s v="Online"/>
    <n v="32"/>
    <n v="6"/>
    <n v="192"/>
    <s v="Bronze"/>
  </r>
  <r>
    <x v="2"/>
    <s v="Apple"/>
    <s v="Online"/>
    <n v="32"/>
    <n v="16"/>
    <n v="512"/>
    <s v="Gold"/>
  </r>
  <r>
    <x v="0"/>
    <s v="Walnut"/>
    <s v="Online"/>
    <n v="3"/>
    <n v="15"/>
    <n v="45"/>
    <s v="Gold"/>
  </r>
  <r>
    <x v="0"/>
    <s v="Cherry"/>
    <s v="Retail"/>
    <n v="46"/>
    <n v="33"/>
    <n v="1518"/>
    <s v="Silver"/>
  </r>
  <r>
    <x v="2"/>
    <s v="Walnut"/>
    <s v="Online"/>
    <n v="49"/>
    <n v="15"/>
    <n v="735"/>
    <s v="Silver"/>
  </r>
  <r>
    <x v="1"/>
    <s v="Apple"/>
    <s v="Partner"/>
    <n v="21"/>
    <n v="22"/>
    <n v="462"/>
    <s v="Gold"/>
  </r>
  <r>
    <x v="0"/>
    <s v="Walnut"/>
    <s v="Partner"/>
    <n v="17"/>
    <n v="9"/>
    <n v="153"/>
    <s v="Gold"/>
  </r>
  <r>
    <x v="3"/>
    <s v="Walnut"/>
    <s v="Online"/>
    <n v="48"/>
    <n v="26"/>
    <n v="1248"/>
    <s v="Bronze"/>
  </r>
  <r>
    <x v="3"/>
    <s v="Apple"/>
    <s v="Retail"/>
    <n v="15"/>
    <n v="2"/>
    <n v="30"/>
    <s v="Bronze"/>
  </r>
  <r>
    <x v="2"/>
    <s v="Cherry"/>
    <s v="Retail"/>
    <n v="8"/>
    <n v="5"/>
    <n v="40"/>
    <s v="Gold"/>
  </r>
  <r>
    <x v="1"/>
    <s v="Walnut"/>
    <s v="Partner"/>
    <n v="34"/>
    <n v="22"/>
    <n v="748"/>
    <s v="Silver"/>
  </r>
  <r>
    <x v="3"/>
    <s v="Cherry"/>
    <s v="Retail"/>
    <n v="2"/>
    <n v="26"/>
    <n v="52"/>
    <s v="Gold"/>
  </r>
  <r>
    <x v="2"/>
    <s v="Cherry"/>
    <s v="Partner"/>
    <n v="32"/>
    <n v="21"/>
    <n v="672"/>
    <s v="Gold"/>
  </r>
  <r>
    <x v="1"/>
    <s v="Walnut"/>
    <s v="Online"/>
    <n v="25"/>
    <n v="6"/>
    <n v="150"/>
    <s v="Bronze"/>
  </r>
  <r>
    <x v="2"/>
    <s v="Walnut"/>
    <s v="Retail"/>
    <n v="13"/>
    <n v="21"/>
    <n v="273"/>
    <s v="Bronze"/>
  </r>
  <r>
    <x v="2"/>
    <s v="Cherry"/>
    <s v="Retail"/>
    <n v="47"/>
    <n v="32"/>
    <n v="1504"/>
    <s v="Silver"/>
  </r>
  <r>
    <x v="1"/>
    <s v="Cherry"/>
    <s v="Partner"/>
    <n v="15"/>
    <n v="22"/>
    <n v="330"/>
    <s v="Gold"/>
  </r>
  <r>
    <x v="2"/>
    <s v="Cherry"/>
    <s v="Partner"/>
    <n v="16"/>
    <n v="19"/>
    <n v="304"/>
    <s v="Bronze"/>
  </r>
  <r>
    <x v="1"/>
    <s v="Banana"/>
    <s v="Partner"/>
    <n v="24"/>
    <n v="39"/>
    <n v="936"/>
    <s v="Gold"/>
  </r>
  <r>
    <x v="1"/>
    <s v="Banana"/>
    <s v="Online"/>
    <n v="39"/>
    <n v="35"/>
    <n v="1365"/>
    <s v="Bronze"/>
  </r>
  <r>
    <x v="1"/>
    <s v="Walnut"/>
    <s v="Online"/>
    <n v="14"/>
    <n v="27"/>
    <n v="378"/>
    <s v="Gold"/>
  </r>
  <r>
    <x v="0"/>
    <s v="Apple"/>
    <s v="Partner"/>
    <n v="25"/>
    <n v="10"/>
    <n v="250"/>
    <s v="Silver"/>
  </r>
  <r>
    <x v="3"/>
    <s v="Banana"/>
    <s v="Partner"/>
    <n v="39"/>
    <n v="19"/>
    <n v="741"/>
    <s v="Silver"/>
  </r>
  <r>
    <x v="2"/>
    <s v="Cherry"/>
    <s v="Partner"/>
    <n v="22"/>
    <n v="34"/>
    <n v="748"/>
    <s v="Bronze"/>
  </r>
  <r>
    <x v="3"/>
    <s v="Banana"/>
    <s v="Partner"/>
    <n v="40"/>
    <n v="19"/>
    <n v="760"/>
    <s v="Bronze"/>
  </r>
  <r>
    <x v="1"/>
    <s v="Apple"/>
    <s v="Partner"/>
    <n v="39"/>
    <n v="8"/>
    <n v="312"/>
    <s v="Bronze"/>
  </r>
  <r>
    <x v="2"/>
    <s v="Cherry"/>
    <s v="Partner"/>
    <n v="14"/>
    <n v="20"/>
    <n v="280"/>
    <s v="Bronze"/>
  </r>
  <r>
    <x v="2"/>
    <s v="Cherry"/>
    <s v="Partner"/>
    <n v="18"/>
    <n v="29"/>
    <n v="522"/>
    <s v="Silver"/>
  </r>
  <r>
    <x v="3"/>
    <s v="Walnut"/>
    <s v="Online"/>
    <n v="4"/>
    <n v="3"/>
    <n v="12"/>
    <s v="Gold"/>
  </r>
  <r>
    <x v="2"/>
    <s v="Apple"/>
    <s v="Online"/>
    <n v="17"/>
    <n v="20"/>
    <n v="340"/>
    <s v="Gold"/>
  </r>
  <r>
    <x v="3"/>
    <s v="Cherry"/>
    <s v="Retail"/>
    <n v="5"/>
    <n v="38"/>
    <n v="190"/>
    <s v="Bronze"/>
  </r>
  <r>
    <x v="2"/>
    <s v="Walnut"/>
    <s v="Retail"/>
    <n v="7"/>
    <n v="26"/>
    <n v="182"/>
    <s v="Bronze"/>
  </r>
  <r>
    <x v="3"/>
    <s v="Walnut"/>
    <s v="Retail"/>
    <n v="48"/>
    <n v="26"/>
    <n v="1248"/>
    <s v="Bronze"/>
  </r>
  <r>
    <x v="2"/>
    <s v="Cherry"/>
    <s v="Online"/>
    <n v="7"/>
    <n v="40"/>
    <n v="280"/>
    <s v="Gold"/>
  </r>
  <r>
    <x v="2"/>
    <s v="Banana"/>
    <s v="Online"/>
    <n v="46"/>
    <n v="29"/>
    <n v="1334"/>
    <s v="Bronze"/>
  </r>
  <r>
    <x v="1"/>
    <s v="Apple"/>
    <s v="Online"/>
    <n v="12"/>
    <n v="25"/>
    <n v="300"/>
    <s v="Silver"/>
  </r>
  <r>
    <x v="2"/>
    <s v="Cherry"/>
    <s v="Online"/>
    <n v="6"/>
    <n v="14"/>
    <n v="84"/>
    <s v="Gold"/>
  </r>
  <r>
    <x v="0"/>
    <s v="Apple"/>
    <s v="Retail"/>
    <n v="46"/>
    <n v="4"/>
    <n v="184"/>
    <s v="Bronze"/>
  </r>
  <r>
    <x v="1"/>
    <s v="Cherry"/>
    <s v="Online"/>
    <n v="16"/>
    <n v="21"/>
    <n v="336"/>
    <s v="Bronze"/>
  </r>
  <r>
    <x v="0"/>
    <s v="Cherry"/>
    <s v="Partner"/>
    <n v="11"/>
    <n v="24"/>
    <n v="264"/>
    <s v="Silver"/>
  </r>
  <r>
    <x v="3"/>
    <s v="Banana"/>
    <s v="Online"/>
    <n v="46"/>
    <n v="36"/>
    <n v="1656"/>
    <s v="Gold"/>
  </r>
  <r>
    <x v="0"/>
    <s v="Banana"/>
    <s v="Retail"/>
    <n v="33"/>
    <n v="2"/>
    <n v="66"/>
    <s v="Bronze"/>
  </r>
  <r>
    <x v="1"/>
    <s v="Banana"/>
    <s v="Online"/>
    <n v="28"/>
    <n v="19"/>
    <n v="532"/>
    <s v="Gold"/>
  </r>
  <r>
    <x v="2"/>
    <s v="Banana"/>
    <s v="Online"/>
    <n v="39"/>
    <n v="40"/>
    <n v="1560"/>
    <s v="Bronze"/>
  </r>
  <r>
    <x v="1"/>
    <s v="Cherry"/>
    <s v="Partner"/>
    <n v="5"/>
    <n v="20"/>
    <n v="100"/>
    <s v="Bronze"/>
  </r>
  <r>
    <x v="0"/>
    <s v="Banana"/>
    <s v="Online"/>
    <n v="36"/>
    <n v="35"/>
    <n v="1260"/>
    <s v="Bronze"/>
  </r>
  <r>
    <x v="2"/>
    <s v="Walnut"/>
    <s v="Online"/>
    <n v="30"/>
    <n v="26"/>
    <n v="780"/>
    <s v="Gold"/>
  </r>
  <r>
    <x v="0"/>
    <s v="Banana"/>
    <s v="Online"/>
    <n v="30"/>
    <n v="30"/>
    <n v="900"/>
    <s v="Silver"/>
  </r>
  <r>
    <x v="0"/>
    <s v="Apple"/>
    <s v="Partner"/>
    <n v="13"/>
    <n v="10"/>
    <n v="130"/>
    <s v="Gold"/>
  </r>
  <r>
    <x v="3"/>
    <s v="Banana"/>
    <s v="Online"/>
    <n v="33"/>
    <n v="32"/>
    <n v="1056"/>
    <s v="Gold"/>
  </r>
  <r>
    <x v="1"/>
    <s v="Banana"/>
    <s v="Online"/>
    <n v="35"/>
    <n v="39"/>
    <n v="1365"/>
    <s v="Bronze"/>
  </r>
  <r>
    <x v="0"/>
    <s v="Banana"/>
    <s v="Online"/>
    <n v="28"/>
    <n v="10"/>
    <n v="280"/>
    <s v="Bronze"/>
  </r>
  <r>
    <x v="3"/>
    <s v="Walnut"/>
    <s v="Retail"/>
    <n v="40"/>
    <n v="39"/>
    <n v="1560"/>
    <s v="Gold"/>
  </r>
  <r>
    <x v="3"/>
    <s v="Apple"/>
    <s v="Partner"/>
    <n v="49"/>
    <n v="34"/>
    <n v="1666"/>
    <s v="Bronze"/>
  </r>
  <r>
    <x v="0"/>
    <s v="Cherry"/>
    <s v="Retail"/>
    <n v="27"/>
    <n v="22"/>
    <n v="594"/>
    <s v="Bronze"/>
  </r>
  <r>
    <x v="3"/>
    <s v="Apple"/>
    <s v="Partner"/>
    <n v="48"/>
    <n v="12"/>
    <n v="576"/>
    <s v="Gold"/>
  </r>
  <r>
    <x v="3"/>
    <s v="Banana"/>
    <s v="Partner"/>
    <n v="20"/>
    <n v="22"/>
    <n v="440"/>
    <s v="Bronze"/>
  </r>
  <r>
    <x v="3"/>
    <s v="Apple"/>
    <s v="Partner"/>
    <n v="6"/>
    <n v="3"/>
    <n v="18"/>
    <s v="Bronze"/>
  </r>
  <r>
    <x v="2"/>
    <s v="Apple"/>
    <s v="Retail"/>
    <n v="29"/>
    <n v="3"/>
    <n v="87"/>
    <s v="Gold"/>
  </r>
  <r>
    <x v="3"/>
    <s v="Walnut"/>
    <s v="Online"/>
    <n v="2"/>
    <n v="34"/>
    <n v="68"/>
    <s v="Bronz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x v="0"/>
    <n v="46"/>
    <n v="22"/>
    <n v="1012"/>
    <s v="Bronze"/>
  </r>
  <r>
    <x v="1"/>
    <s v="Cherry"/>
    <x v="1"/>
    <n v="44"/>
    <n v="40"/>
    <n v="1760"/>
    <s v="Silver"/>
  </r>
  <r>
    <x v="1"/>
    <s v="Cherry"/>
    <x v="0"/>
    <n v="13"/>
    <n v="1"/>
    <n v="13"/>
    <s v="Gold"/>
  </r>
  <r>
    <x v="2"/>
    <s v="Apple"/>
    <x v="0"/>
    <n v="34"/>
    <n v="11"/>
    <n v="374"/>
    <s v="Gold"/>
  </r>
  <r>
    <x v="3"/>
    <s v="Walnut"/>
    <x v="1"/>
    <n v="31"/>
    <n v="17"/>
    <n v="527"/>
    <s v="Silver"/>
  </r>
  <r>
    <x v="2"/>
    <s v="Apple"/>
    <x v="1"/>
    <n v="15"/>
    <n v="34"/>
    <n v="510"/>
    <s v="Bronze"/>
  </r>
  <r>
    <x v="2"/>
    <s v="Cherry"/>
    <x v="1"/>
    <n v="25"/>
    <n v="8"/>
    <n v="200"/>
    <s v="Silver"/>
  </r>
  <r>
    <x v="1"/>
    <s v="Apple"/>
    <x v="2"/>
    <n v="6"/>
    <n v="3"/>
    <n v="18"/>
    <s v="Bronze"/>
  </r>
  <r>
    <x v="3"/>
    <s v="Banana"/>
    <x v="2"/>
    <n v="7"/>
    <n v="30"/>
    <n v="210"/>
    <s v="Gold"/>
  </r>
  <r>
    <x v="2"/>
    <s v="Apple"/>
    <x v="0"/>
    <n v="19"/>
    <n v="3"/>
    <n v="57"/>
    <s v="Gold"/>
  </r>
  <r>
    <x v="3"/>
    <s v="Cherry"/>
    <x v="2"/>
    <n v="42"/>
    <n v="31"/>
    <n v="1302"/>
    <s v="Bronze"/>
  </r>
  <r>
    <x v="3"/>
    <s v="Banana"/>
    <x v="1"/>
    <n v="37"/>
    <n v="20"/>
    <n v="740"/>
    <s v="Bronze"/>
  </r>
  <r>
    <x v="3"/>
    <s v="Cherry"/>
    <x v="0"/>
    <n v="35"/>
    <n v="4"/>
    <n v="140"/>
    <s v="Bronze"/>
  </r>
  <r>
    <x v="2"/>
    <s v="Apple"/>
    <x v="1"/>
    <n v="5"/>
    <n v="24"/>
    <n v="120"/>
    <s v="Bronze"/>
  </r>
  <r>
    <x v="2"/>
    <s v="Cherry"/>
    <x v="0"/>
    <n v="40"/>
    <n v="18"/>
    <n v="720"/>
    <s v="Bronze"/>
  </r>
  <r>
    <x v="3"/>
    <s v="Walnut"/>
    <x v="1"/>
    <n v="18"/>
    <n v="40"/>
    <n v="720"/>
    <s v="Gold"/>
  </r>
  <r>
    <x v="3"/>
    <s v="Apple"/>
    <x v="1"/>
    <n v="31"/>
    <n v="12"/>
    <n v="372"/>
    <s v="Silver"/>
  </r>
  <r>
    <x v="0"/>
    <s v="Cherry"/>
    <x v="2"/>
    <n v="18"/>
    <n v="19"/>
    <n v="342"/>
    <s v="Bronze"/>
  </r>
  <r>
    <x v="1"/>
    <s v="Walnut"/>
    <x v="1"/>
    <n v="19"/>
    <n v="25"/>
    <n v="475"/>
    <s v="Gold"/>
  </r>
  <r>
    <x v="0"/>
    <s v="Apple"/>
    <x v="2"/>
    <n v="1"/>
    <n v="22"/>
    <n v="22"/>
    <s v="Gold"/>
  </r>
  <r>
    <x v="0"/>
    <s v="Walnut"/>
    <x v="1"/>
    <n v="18"/>
    <n v="37"/>
    <n v="666"/>
    <s v="Gold"/>
  </r>
  <r>
    <x v="0"/>
    <s v="Banana"/>
    <x v="2"/>
    <n v="24"/>
    <n v="31"/>
    <n v="744"/>
    <s v="Gold"/>
  </r>
  <r>
    <x v="0"/>
    <s v="Walnut"/>
    <x v="0"/>
    <n v="33"/>
    <n v="25"/>
    <n v="825"/>
    <s v="Silver"/>
  </r>
  <r>
    <x v="2"/>
    <s v="Cherry"/>
    <x v="0"/>
    <n v="48"/>
    <n v="17"/>
    <n v="816"/>
    <s v="Gold"/>
  </r>
  <r>
    <x v="3"/>
    <s v="Cherry"/>
    <x v="0"/>
    <n v="3"/>
    <n v="17"/>
    <n v="51"/>
    <s v="Gold"/>
  </r>
  <r>
    <x v="3"/>
    <s v="Banana"/>
    <x v="1"/>
    <n v="27"/>
    <n v="39"/>
    <n v="1053"/>
    <s v="Silver"/>
  </r>
  <r>
    <x v="3"/>
    <s v="Walnut"/>
    <x v="1"/>
    <n v="35"/>
    <n v="25"/>
    <n v="875"/>
    <s v="Gold"/>
  </r>
  <r>
    <x v="2"/>
    <s v="Cherry"/>
    <x v="1"/>
    <n v="19"/>
    <n v="25"/>
    <n v="475"/>
    <s v="Bronze"/>
  </r>
  <r>
    <x v="1"/>
    <s v="Walnut"/>
    <x v="1"/>
    <n v="4"/>
    <n v="7"/>
    <n v="28"/>
    <s v="Bronze"/>
  </r>
  <r>
    <x v="2"/>
    <s v="Walnut"/>
    <x v="0"/>
    <n v="7"/>
    <n v="15"/>
    <n v="105"/>
    <s v="Bronze"/>
  </r>
  <r>
    <x v="2"/>
    <s v="Apple"/>
    <x v="1"/>
    <n v="32"/>
    <n v="6"/>
    <n v="192"/>
    <s v="Bronze"/>
  </r>
  <r>
    <x v="2"/>
    <s v="Apple"/>
    <x v="1"/>
    <n v="32"/>
    <n v="16"/>
    <n v="512"/>
    <s v="Gold"/>
  </r>
  <r>
    <x v="0"/>
    <s v="Walnut"/>
    <x v="1"/>
    <n v="3"/>
    <n v="15"/>
    <n v="45"/>
    <s v="Gold"/>
  </r>
  <r>
    <x v="0"/>
    <s v="Cherry"/>
    <x v="2"/>
    <n v="46"/>
    <n v="33"/>
    <n v="1518"/>
    <s v="Silver"/>
  </r>
  <r>
    <x v="2"/>
    <s v="Walnut"/>
    <x v="1"/>
    <n v="49"/>
    <n v="15"/>
    <n v="735"/>
    <s v="Silver"/>
  </r>
  <r>
    <x v="1"/>
    <s v="Apple"/>
    <x v="0"/>
    <n v="21"/>
    <n v="22"/>
    <n v="462"/>
    <s v="Gold"/>
  </r>
  <r>
    <x v="0"/>
    <s v="Walnut"/>
    <x v="0"/>
    <n v="17"/>
    <n v="9"/>
    <n v="153"/>
    <s v="Gold"/>
  </r>
  <r>
    <x v="3"/>
    <s v="Walnut"/>
    <x v="1"/>
    <n v="48"/>
    <n v="26"/>
    <n v="1248"/>
    <s v="Bronze"/>
  </r>
  <r>
    <x v="3"/>
    <s v="Apple"/>
    <x v="2"/>
    <n v="15"/>
    <n v="2"/>
    <n v="30"/>
    <s v="Bronze"/>
  </r>
  <r>
    <x v="2"/>
    <s v="Cherry"/>
    <x v="2"/>
    <n v="8"/>
    <n v="5"/>
    <n v="40"/>
    <s v="Gold"/>
  </r>
  <r>
    <x v="1"/>
    <s v="Walnut"/>
    <x v="0"/>
    <n v="34"/>
    <n v="22"/>
    <n v="748"/>
    <s v="Silver"/>
  </r>
  <r>
    <x v="3"/>
    <s v="Cherry"/>
    <x v="2"/>
    <n v="2"/>
    <n v="26"/>
    <n v="52"/>
    <s v="Gold"/>
  </r>
  <r>
    <x v="2"/>
    <s v="Cherry"/>
    <x v="0"/>
    <n v="32"/>
    <n v="21"/>
    <n v="672"/>
    <s v="Gold"/>
  </r>
  <r>
    <x v="1"/>
    <s v="Walnut"/>
    <x v="1"/>
    <n v="25"/>
    <n v="6"/>
    <n v="150"/>
    <s v="Bronze"/>
  </r>
  <r>
    <x v="2"/>
    <s v="Walnut"/>
    <x v="2"/>
    <n v="13"/>
    <n v="21"/>
    <n v="273"/>
    <s v="Bronze"/>
  </r>
  <r>
    <x v="2"/>
    <s v="Cherry"/>
    <x v="2"/>
    <n v="47"/>
    <n v="32"/>
    <n v="1504"/>
    <s v="Silver"/>
  </r>
  <r>
    <x v="1"/>
    <s v="Cherry"/>
    <x v="0"/>
    <n v="15"/>
    <n v="22"/>
    <n v="330"/>
    <s v="Gold"/>
  </r>
  <r>
    <x v="2"/>
    <s v="Cherry"/>
    <x v="0"/>
    <n v="16"/>
    <n v="19"/>
    <n v="304"/>
    <s v="Bronze"/>
  </r>
  <r>
    <x v="1"/>
    <s v="Banana"/>
    <x v="0"/>
    <n v="24"/>
    <n v="39"/>
    <n v="936"/>
    <s v="Gold"/>
  </r>
  <r>
    <x v="1"/>
    <s v="Banana"/>
    <x v="1"/>
    <n v="39"/>
    <n v="35"/>
    <n v="1365"/>
    <s v="Bronze"/>
  </r>
  <r>
    <x v="1"/>
    <s v="Walnut"/>
    <x v="1"/>
    <n v="14"/>
    <n v="27"/>
    <n v="378"/>
    <s v="Gold"/>
  </r>
  <r>
    <x v="0"/>
    <s v="Apple"/>
    <x v="0"/>
    <n v="25"/>
    <n v="10"/>
    <n v="250"/>
    <s v="Silver"/>
  </r>
  <r>
    <x v="3"/>
    <s v="Banana"/>
    <x v="0"/>
    <n v="39"/>
    <n v="19"/>
    <n v="741"/>
    <s v="Silver"/>
  </r>
  <r>
    <x v="2"/>
    <s v="Cherry"/>
    <x v="0"/>
    <n v="22"/>
    <n v="34"/>
    <n v="748"/>
    <s v="Bronze"/>
  </r>
  <r>
    <x v="3"/>
    <s v="Banana"/>
    <x v="0"/>
    <n v="40"/>
    <n v="19"/>
    <n v="760"/>
    <s v="Bronze"/>
  </r>
  <r>
    <x v="1"/>
    <s v="Apple"/>
    <x v="0"/>
    <n v="39"/>
    <n v="8"/>
    <n v="312"/>
    <s v="Bronze"/>
  </r>
  <r>
    <x v="2"/>
    <s v="Cherry"/>
    <x v="0"/>
    <n v="14"/>
    <n v="20"/>
    <n v="280"/>
    <s v="Bronze"/>
  </r>
  <r>
    <x v="2"/>
    <s v="Cherry"/>
    <x v="0"/>
    <n v="18"/>
    <n v="29"/>
    <n v="522"/>
    <s v="Silver"/>
  </r>
  <r>
    <x v="3"/>
    <s v="Walnut"/>
    <x v="1"/>
    <n v="4"/>
    <n v="3"/>
    <n v="12"/>
    <s v="Gold"/>
  </r>
  <r>
    <x v="2"/>
    <s v="Apple"/>
    <x v="1"/>
    <n v="17"/>
    <n v="20"/>
    <n v="340"/>
    <s v="Gold"/>
  </r>
  <r>
    <x v="3"/>
    <s v="Cherry"/>
    <x v="2"/>
    <n v="5"/>
    <n v="38"/>
    <n v="190"/>
    <s v="Bronze"/>
  </r>
  <r>
    <x v="2"/>
    <s v="Walnut"/>
    <x v="2"/>
    <n v="7"/>
    <n v="26"/>
    <n v="182"/>
    <s v="Bronze"/>
  </r>
  <r>
    <x v="3"/>
    <s v="Walnut"/>
    <x v="2"/>
    <n v="48"/>
    <n v="26"/>
    <n v="1248"/>
    <s v="Bronze"/>
  </r>
  <r>
    <x v="2"/>
    <s v="Cherry"/>
    <x v="1"/>
    <n v="7"/>
    <n v="40"/>
    <n v="280"/>
    <s v="Gold"/>
  </r>
  <r>
    <x v="2"/>
    <s v="Banana"/>
    <x v="1"/>
    <n v="46"/>
    <n v="29"/>
    <n v="1334"/>
    <s v="Bronze"/>
  </r>
  <r>
    <x v="1"/>
    <s v="Apple"/>
    <x v="1"/>
    <n v="12"/>
    <n v="25"/>
    <n v="300"/>
    <s v="Silver"/>
  </r>
  <r>
    <x v="2"/>
    <s v="Cherry"/>
    <x v="1"/>
    <n v="6"/>
    <n v="14"/>
    <n v="84"/>
    <s v="Gold"/>
  </r>
  <r>
    <x v="0"/>
    <s v="Apple"/>
    <x v="2"/>
    <n v="46"/>
    <n v="4"/>
    <n v="184"/>
    <s v="Bronze"/>
  </r>
  <r>
    <x v="1"/>
    <s v="Cherry"/>
    <x v="1"/>
    <n v="16"/>
    <n v="21"/>
    <n v="336"/>
    <s v="Bronze"/>
  </r>
  <r>
    <x v="0"/>
    <s v="Cherry"/>
    <x v="0"/>
    <n v="11"/>
    <n v="24"/>
    <n v="264"/>
    <s v="Silver"/>
  </r>
  <r>
    <x v="3"/>
    <s v="Banana"/>
    <x v="1"/>
    <n v="46"/>
    <n v="36"/>
    <n v="1656"/>
    <s v="Gold"/>
  </r>
  <r>
    <x v="0"/>
    <s v="Banana"/>
    <x v="2"/>
    <n v="33"/>
    <n v="2"/>
    <n v="66"/>
    <s v="Bronze"/>
  </r>
  <r>
    <x v="1"/>
    <s v="Banana"/>
    <x v="1"/>
    <n v="28"/>
    <n v="19"/>
    <n v="532"/>
    <s v="Gold"/>
  </r>
  <r>
    <x v="2"/>
    <s v="Banana"/>
    <x v="1"/>
    <n v="39"/>
    <n v="40"/>
    <n v="1560"/>
    <s v="Bronze"/>
  </r>
  <r>
    <x v="1"/>
    <s v="Cherry"/>
    <x v="0"/>
    <n v="5"/>
    <n v="20"/>
    <n v="100"/>
    <s v="Bronze"/>
  </r>
  <r>
    <x v="0"/>
    <s v="Banana"/>
    <x v="1"/>
    <n v="36"/>
    <n v="35"/>
    <n v="1260"/>
    <s v="Bronze"/>
  </r>
  <r>
    <x v="2"/>
    <s v="Walnut"/>
    <x v="1"/>
    <n v="30"/>
    <n v="26"/>
    <n v="780"/>
    <s v="Gold"/>
  </r>
  <r>
    <x v="0"/>
    <s v="Banana"/>
    <x v="1"/>
    <n v="30"/>
    <n v="30"/>
    <n v="900"/>
    <s v="Silver"/>
  </r>
  <r>
    <x v="0"/>
    <s v="Apple"/>
    <x v="0"/>
    <n v="13"/>
    <n v="10"/>
    <n v="130"/>
    <s v="Gold"/>
  </r>
  <r>
    <x v="3"/>
    <s v="Banana"/>
    <x v="1"/>
    <n v="33"/>
    <n v="32"/>
    <n v="1056"/>
    <s v="Gold"/>
  </r>
  <r>
    <x v="1"/>
    <s v="Banana"/>
    <x v="1"/>
    <n v="35"/>
    <n v="39"/>
    <n v="1365"/>
    <s v="Bronze"/>
  </r>
  <r>
    <x v="0"/>
    <s v="Banana"/>
    <x v="1"/>
    <n v="28"/>
    <n v="10"/>
    <n v="280"/>
    <s v="Bronze"/>
  </r>
  <r>
    <x v="3"/>
    <s v="Walnut"/>
    <x v="2"/>
    <n v="40"/>
    <n v="39"/>
    <n v="1560"/>
    <s v="Gold"/>
  </r>
  <r>
    <x v="3"/>
    <s v="Apple"/>
    <x v="0"/>
    <n v="49"/>
    <n v="34"/>
    <n v="1666"/>
    <s v="Bronze"/>
  </r>
  <r>
    <x v="0"/>
    <s v="Cherry"/>
    <x v="2"/>
    <n v="27"/>
    <n v="22"/>
    <n v="594"/>
    <s v="Bronze"/>
  </r>
  <r>
    <x v="3"/>
    <s v="Apple"/>
    <x v="0"/>
    <n v="48"/>
    <n v="12"/>
    <n v="576"/>
    <s v="Gold"/>
  </r>
  <r>
    <x v="3"/>
    <s v="Banana"/>
    <x v="0"/>
    <n v="20"/>
    <n v="22"/>
    <n v="440"/>
    <s v="Bronze"/>
  </r>
  <r>
    <x v="3"/>
    <s v="Apple"/>
    <x v="0"/>
    <n v="6"/>
    <n v="3"/>
    <n v="18"/>
    <s v="Bronze"/>
  </r>
  <r>
    <x v="2"/>
    <s v="Apple"/>
    <x v="2"/>
    <n v="29"/>
    <n v="3"/>
    <n v="87"/>
    <s v="Gold"/>
  </r>
  <r>
    <x v="3"/>
    <s v="Walnut"/>
    <x v="1"/>
    <n v="2"/>
    <n v="34"/>
    <n v="68"/>
    <s v="Bronz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x v="0"/>
    <n v="46"/>
    <n v="22"/>
    <n v="1012"/>
    <s v="Bronze"/>
  </r>
  <r>
    <x v="1"/>
    <x v="1"/>
    <x v="1"/>
    <n v="44"/>
    <n v="40"/>
    <n v="1760"/>
    <s v="Silver"/>
  </r>
  <r>
    <x v="1"/>
    <x v="1"/>
    <x v="0"/>
    <n v="13"/>
    <n v="1"/>
    <n v="13"/>
    <s v="Gold"/>
  </r>
  <r>
    <x v="2"/>
    <x v="2"/>
    <x v="0"/>
    <n v="34"/>
    <n v="11"/>
    <n v="374"/>
    <s v="Gold"/>
  </r>
  <r>
    <x v="3"/>
    <x v="0"/>
    <x v="1"/>
    <n v="31"/>
    <n v="17"/>
    <n v="527"/>
    <s v="Silver"/>
  </r>
  <r>
    <x v="2"/>
    <x v="2"/>
    <x v="1"/>
    <n v="15"/>
    <n v="34"/>
    <n v="510"/>
    <s v="Bronze"/>
  </r>
  <r>
    <x v="2"/>
    <x v="1"/>
    <x v="1"/>
    <n v="25"/>
    <n v="8"/>
    <n v="200"/>
    <s v="Silver"/>
  </r>
  <r>
    <x v="1"/>
    <x v="2"/>
    <x v="2"/>
    <n v="6"/>
    <n v="3"/>
    <n v="18"/>
    <s v="Bronze"/>
  </r>
  <r>
    <x v="3"/>
    <x v="3"/>
    <x v="2"/>
    <n v="7"/>
    <n v="30"/>
    <n v="210"/>
    <s v="Gold"/>
  </r>
  <r>
    <x v="2"/>
    <x v="2"/>
    <x v="0"/>
    <n v="19"/>
    <n v="3"/>
    <n v="57"/>
    <s v="Gold"/>
  </r>
  <r>
    <x v="3"/>
    <x v="1"/>
    <x v="2"/>
    <n v="42"/>
    <n v="31"/>
    <n v="1302"/>
    <s v="Bronze"/>
  </r>
  <r>
    <x v="3"/>
    <x v="3"/>
    <x v="1"/>
    <n v="37"/>
    <n v="20"/>
    <n v="740"/>
    <s v="Bronze"/>
  </r>
  <r>
    <x v="3"/>
    <x v="1"/>
    <x v="0"/>
    <n v="35"/>
    <n v="4"/>
    <n v="140"/>
    <s v="Bronze"/>
  </r>
  <r>
    <x v="2"/>
    <x v="2"/>
    <x v="1"/>
    <n v="5"/>
    <n v="24"/>
    <n v="120"/>
    <s v="Bronze"/>
  </r>
  <r>
    <x v="2"/>
    <x v="1"/>
    <x v="0"/>
    <n v="40"/>
    <n v="18"/>
    <n v="720"/>
    <s v="Bronze"/>
  </r>
  <r>
    <x v="3"/>
    <x v="0"/>
    <x v="1"/>
    <n v="18"/>
    <n v="40"/>
    <n v="720"/>
    <s v="Gold"/>
  </r>
  <r>
    <x v="3"/>
    <x v="2"/>
    <x v="1"/>
    <n v="31"/>
    <n v="12"/>
    <n v="372"/>
    <s v="Silver"/>
  </r>
  <r>
    <x v="0"/>
    <x v="1"/>
    <x v="2"/>
    <n v="18"/>
    <n v="19"/>
    <n v="342"/>
    <s v="Bronze"/>
  </r>
  <r>
    <x v="1"/>
    <x v="0"/>
    <x v="1"/>
    <n v="19"/>
    <n v="25"/>
    <n v="475"/>
    <s v="Gold"/>
  </r>
  <r>
    <x v="0"/>
    <x v="2"/>
    <x v="2"/>
    <n v="1"/>
    <n v="22"/>
    <n v="22"/>
    <s v="Gold"/>
  </r>
  <r>
    <x v="0"/>
    <x v="0"/>
    <x v="1"/>
    <n v="18"/>
    <n v="37"/>
    <n v="666"/>
    <s v="Gold"/>
  </r>
  <r>
    <x v="0"/>
    <x v="3"/>
    <x v="2"/>
    <n v="24"/>
    <n v="31"/>
    <n v="744"/>
    <s v="Gold"/>
  </r>
  <r>
    <x v="0"/>
    <x v="0"/>
    <x v="0"/>
    <n v="33"/>
    <n v="25"/>
    <n v="825"/>
    <s v="Silver"/>
  </r>
  <r>
    <x v="2"/>
    <x v="1"/>
    <x v="0"/>
    <n v="48"/>
    <n v="17"/>
    <n v="816"/>
    <s v="Gold"/>
  </r>
  <r>
    <x v="3"/>
    <x v="1"/>
    <x v="0"/>
    <n v="3"/>
    <n v="17"/>
    <n v="51"/>
    <s v="Gold"/>
  </r>
  <r>
    <x v="3"/>
    <x v="3"/>
    <x v="1"/>
    <n v="27"/>
    <n v="39"/>
    <n v="1053"/>
    <s v="Silver"/>
  </r>
  <r>
    <x v="3"/>
    <x v="0"/>
    <x v="1"/>
    <n v="35"/>
    <n v="25"/>
    <n v="875"/>
    <s v="Gold"/>
  </r>
  <r>
    <x v="2"/>
    <x v="1"/>
    <x v="1"/>
    <n v="19"/>
    <n v="25"/>
    <n v="475"/>
    <s v="Bronze"/>
  </r>
  <r>
    <x v="1"/>
    <x v="0"/>
    <x v="1"/>
    <n v="4"/>
    <n v="7"/>
    <n v="28"/>
    <s v="Bronze"/>
  </r>
  <r>
    <x v="2"/>
    <x v="0"/>
    <x v="0"/>
    <n v="7"/>
    <n v="15"/>
    <n v="105"/>
    <s v="Bronze"/>
  </r>
  <r>
    <x v="2"/>
    <x v="2"/>
    <x v="1"/>
    <n v="32"/>
    <n v="6"/>
    <n v="192"/>
    <s v="Bronze"/>
  </r>
  <r>
    <x v="2"/>
    <x v="2"/>
    <x v="1"/>
    <n v="32"/>
    <n v="16"/>
    <n v="512"/>
    <s v="Gold"/>
  </r>
  <r>
    <x v="0"/>
    <x v="0"/>
    <x v="1"/>
    <n v="3"/>
    <n v="15"/>
    <n v="45"/>
    <s v="Gold"/>
  </r>
  <r>
    <x v="0"/>
    <x v="1"/>
    <x v="2"/>
    <n v="46"/>
    <n v="33"/>
    <n v="1518"/>
    <s v="Silver"/>
  </r>
  <r>
    <x v="2"/>
    <x v="0"/>
    <x v="1"/>
    <n v="49"/>
    <n v="15"/>
    <n v="735"/>
    <s v="Silver"/>
  </r>
  <r>
    <x v="1"/>
    <x v="2"/>
    <x v="0"/>
    <n v="21"/>
    <n v="22"/>
    <n v="462"/>
    <s v="Gold"/>
  </r>
  <r>
    <x v="0"/>
    <x v="0"/>
    <x v="0"/>
    <n v="17"/>
    <n v="9"/>
    <n v="153"/>
    <s v="Gold"/>
  </r>
  <r>
    <x v="3"/>
    <x v="0"/>
    <x v="1"/>
    <n v="48"/>
    <n v="26"/>
    <n v="1248"/>
    <s v="Bronze"/>
  </r>
  <r>
    <x v="3"/>
    <x v="2"/>
    <x v="2"/>
    <n v="15"/>
    <n v="2"/>
    <n v="30"/>
    <s v="Bronze"/>
  </r>
  <r>
    <x v="2"/>
    <x v="1"/>
    <x v="2"/>
    <n v="8"/>
    <n v="5"/>
    <n v="40"/>
    <s v="Gold"/>
  </r>
  <r>
    <x v="1"/>
    <x v="0"/>
    <x v="0"/>
    <n v="34"/>
    <n v="22"/>
    <n v="748"/>
    <s v="Silver"/>
  </r>
  <r>
    <x v="3"/>
    <x v="1"/>
    <x v="2"/>
    <n v="2"/>
    <n v="26"/>
    <n v="52"/>
    <s v="Gold"/>
  </r>
  <r>
    <x v="2"/>
    <x v="1"/>
    <x v="0"/>
    <n v="32"/>
    <n v="21"/>
    <n v="672"/>
    <s v="Gold"/>
  </r>
  <r>
    <x v="1"/>
    <x v="0"/>
    <x v="1"/>
    <n v="25"/>
    <n v="6"/>
    <n v="150"/>
    <s v="Bronze"/>
  </r>
  <r>
    <x v="2"/>
    <x v="0"/>
    <x v="2"/>
    <n v="13"/>
    <n v="21"/>
    <n v="273"/>
    <s v="Bronze"/>
  </r>
  <r>
    <x v="2"/>
    <x v="1"/>
    <x v="2"/>
    <n v="47"/>
    <n v="32"/>
    <n v="1504"/>
    <s v="Silver"/>
  </r>
  <r>
    <x v="1"/>
    <x v="1"/>
    <x v="0"/>
    <n v="15"/>
    <n v="22"/>
    <n v="330"/>
    <s v="Gold"/>
  </r>
  <r>
    <x v="2"/>
    <x v="1"/>
    <x v="0"/>
    <n v="16"/>
    <n v="19"/>
    <n v="304"/>
    <s v="Bronze"/>
  </r>
  <r>
    <x v="1"/>
    <x v="3"/>
    <x v="0"/>
    <n v="24"/>
    <n v="39"/>
    <n v="936"/>
    <s v="Gold"/>
  </r>
  <r>
    <x v="1"/>
    <x v="3"/>
    <x v="1"/>
    <n v="39"/>
    <n v="35"/>
    <n v="1365"/>
    <s v="Bronze"/>
  </r>
  <r>
    <x v="1"/>
    <x v="0"/>
    <x v="1"/>
    <n v="14"/>
    <n v="27"/>
    <n v="378"/>
    <s v="Gold"/>
  </r>
  <r>
    <x v="0"/>
    <x v="2"/>
    <x v="0"/>
    <n v="25"/>
    <n v="10"/>
    <n v="250"/>
    <s v="Silver"/>
  </r>
  <r>
    <x v="3"/>
    <x v="3"/>
    <x v="0"/>
    <n v="39"/>
    <n v="19"/>
    <n v="741"/>
    <s v="Silver"/>
  </r>
  <r>
    <x v="2"/>
    <x v="1"/>
    <x v="0"/>
    <n v="22"/>
    <n v="34"/>
    <n v="748"/>
    <s v="Bronze"/>
  </r>
  <r>
    <x v="3"/>
    <x v="3"/>
    <x v="0"/>
    <n v="40"/>
    <n v="19"/>
    <n v="760"/>
    <s v="Bronze"/>
  </r>
  <r>
    <x v="1"/>
    <x v="2"/>
    <x v="0"/>
    <n v="39"/>
    <n v="8"/>
    <n v="312"/>
    <s v="Bronze"/>
  </r>
  <r>
    <x v="2"/>
    <x v="1"/>
    <x v="0"/>
    <n v="14"/>
    <n v="20"/>
    <n v="280"/>
    <s v="Bronze"/>
  </r>
  <r>
    <x v="2"/>
    <x v="1"/>
    <x v="0"/>
    <n v="18"/>
    <n v="29"/>
    <n v="522"/>
    <s v="Silver"/>
  </r>
  <r>
    <x v="3"/>
    <x v="0"/>
    <x v="1"/>
    <n v="4"/>
    <n v="3"/>
    <n v="12"/>
    <s v="Gold"/>
  </r>
  <r>
    <x v="2"/>
    <x v="2"/>
    <x v="1"/>
    <n v="17"/>
    <n v="20"/>
    <n v="340"/>
    <s v="Gold"/>
  </r>
  <r>
    <x v="3"/>
    <x v="1"/>
    <x v="2"/>
    <n v="5"/>
    <n v="38"/>
    <n v="190"/>
    <s v="Bronze"/>
  </r>
  <r>
    <x v="2"/>
    <x v="0"/>
    <x v="2"/>
    <n v="7"/>
    <n v="26"/>
    <n v="182"/>
    <s v="Bronze"/>
  </r>
  <r>
    <x v="3"/>
    <x v="0"/>
    <x v="2"/>
    <n v="48"/>
    <n v="26"/>
    <n v="1248"/>
    <s v="Bronze"/>
  </r>
  <r>
    <x v="2"/>
    <x v="1"/>
    <x v="1"/>
    <n v="7"/>
    <n v="40"/>
    <n v="280"/>
    <s v="Gold"/>
  </r>
  <r>
    <x v="2"/>
    <x v="3"/>
    <x v="1"/>
    <n v="46"/>
    <n v="29"/>
    <n v="1334"/>
    <s v="Bronze"/>
  </r>
  <r>
    <x v="1"/>
    <x v="2"/>
    <x v="1"/>
    <n v="12"/>
    <n v="25"/>
    <n v="300"/>
    <s v="Silver"/>
  </r>
  <r>
    <x v="2"/>
    <x v="1"/>
    <x v="1"/>
    <n v="6"/>
    <n v="14"/>
    <n v="84"/>
    <s v="Gold"/>
  </r>
  <r>
    <x v="0"/>
    <x v="2"/>
    <x v="2"/>
    <n v="46"/>
    <n v="4"/>
    <n v="184"/>
    <s v="Bronze"/>
  </r>
  <r>
    <x v="1"/>
    <x v="1"/>
    <x v="1"/>
    <n v="16"/>
    <n v="21"/>
    <n v="336"/>
    <s v="Bronze"/>
  </r>
  <r>
    <x v="0"/>
    <x v="1"/>
    <x v="0"/>
    <n v="11"/>
    <n v="24"/>
    <n v="264"/>
    <s v="Silver"/>
  </r>
  <r>
    <x v="3"/>
    <x v="3"/>
    <x v="1"/>
    <n v="46"/>
    <n v="36"/>
    <n v="1656"/>
    <s v="Gold"/>
  </r>
  <r>
    <x v="0"/>
    <x v="3"/>
    <x v="2"/>
    <n v="33"/>
    <n v="2"/>
    <n v="66"/>
    <s v="Bronze"/>
  </r>
  <r>
    <x v="1"/>
    <x v="3"/>
    <x v="1"/>
    <n v="28"/>
    <n v="19"/>
    <n v="532"/>
    <s v="Gold"/>
  </r>
  <r>
    <x v="2"/>
    <x v="3"/>
    <x v="1"/>
    <n v="39"/>
    <n v="40"/>
    <n v="1560"/>
    <s v="Bronze"/>
  </r>
  <r>
    <x v="1"/>
    <x v="1"/>
    <x v="0"/>
    <n v="5"/>
    <n v="20"/>
    <n v="100"/>
    <s v="Bronze"/>
  </r>
  <r>
    <x v="0"/>
    <x v="3"/>
    <x v="1"/>
    <n v="36"/>
    <n v="35"/>
    <n v="1260"/>
    <s v="Bronze"/>
  </r>
  <r>
    <x v="2"/>
    <x v="0"/>
    <x v="1"/>
    <n v="30"/>
    <n v="26"/>
    <n v="780"/>
    <s v="Gold"/>
  </r>
  <r>
    <x v="0"/>
    <x v="3"/>
    <x v="1"/>
    <n v="30"/>
    <n v="30"/>
    <n v="900"/>
    <s v="Silver"/>
  </r>
  <r>
    <x v="0"/>
    <x v="2"/>
    <x v="0"/>
    <n v="13"/>
    <n v="10"/>
    <n v="130"/>
    <s v="Gold"/>
  </r>
  <r>
    <x v="3"/>
    <x v="3"/>
    <x v="1"/>
    <n v="33"/>
    <n v="32"/>
    <n v="1056"/>
    <s v="Gold"/>
  </r>
  <r>
    <x v="1"/>
    <x v="3"/>
    <x v="1"/>
    <n v="35"/>
    <n v="39"/>
    <n v="1365"/>
    <s v="Bronze"/>
  </r>
  <r>
    <x v="0"/>
    <x v="3"/>
    <x v="1"/>
    <n v="28"/>
    <n v="10"/>
    <n v="280"/>
    <s v="Bronze"/>
  </r>
  <r>
    <x v="3"/>
    <x v="0"/>
    <x v="2"/>
    <n v="40"/>
    <n v="39"/>
    <n v="1560"/>
    <s v="Gold"/>
  </r>
  <r>
    <x v="3"/>
    <x v="2"/>
    <x v="0"/>
    <n v="49"/>
    <n v="34"/>
    <n v="1666"/>
    <s v="Bronze"/>
  </r>
  <r>
    <x v="0"/>
    <x v="1"/>
    <x v="2"/>
    <n v="27"/>
    <n v="22"/>
    <n v="594"/>
    <s v="Bronze"/>
  </r>
  <r>
    <x v="3"/>
    <x v="2"/>
    <x v="0"/>
    <n v="48"/>
    <n v="12"/>
    <n v="576"/>
    <s v="Gold"/>
  </r>
  <r>
    <x v="3"/>
    <x v="3"/>
    <x v="0"/>
    <n v="20"/>
    <n v="22"/>
    <n v="440"/>
    <s v="Bronze"/>
  </r>
  <r>
    <x v="3"/>
    <x v="2"/>
    <x v="0"/>
    <n v="6"/>
    <n v="3"/>
    <n v="18"/>
    <s v="Bronze"/>
  </r>
  <r>
    <x v="2"/>
    <x v="2"/>
    <x v="2"/>
    <n v="29"/>
    <n v="3"/>
    <n v="87"/>
    <s v="Gold"/>
  </r>
  <r>
    <x v="3"/>
    <x v="0"/>
    <x v="1"/>
    <n v="2"/>
    <n v="34"/>
    <n v="68"/>
    <s v="Bronz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s v="Partner"/>
    <n v="46"/>
    <n v="22"/>
    <n v="1012"/>
    <s v="Bronze"/>
  </r>
  <r>
    <x v="1"/>
    <x v="1"/>
    <s v="Online"/>
    <n v="44"/>
    <n v="40"/>
    <n v="1760"/>
    <s v="Silver"/>
  </r>
  <r>
    <x v="1"/>
    <x v="1"/>
    <s v="Partner"/>
    <n v="13"/>
    <n v="1"/>
    <n v="13"/>
    <s v="Gold"/>
  </r>
  <r>
    <x v="2"/>
    <x v="2"/>
    <s v="Partner"/>
    <n v="34"/>
    <n v="11"/>
    <n v="374"/>
    <s v="Gold"/>
  </r>
  <r>
    <x v="3"/>
    <x v="0"/>
    <s v="Online"/>
    <n v="31"/>
    <n v="17"/>
    <n v="527"/>
    <s v="Silver"/>
  </r>
  <r>
    <x v="2"/>
    <x v="2"/>
    <s v="Online"/>
    <n v="15"/>
    <n v="34"/>
    <n v="510"/>
    <s v="Bronze"/>
  </r>
  <r>
    <x v="2"/>
    <x v="1"/>
    <s v="Online"/>
    <n v="25"/>
    <n v="8"/>
    <n v="200"/>
    <s v="Silver"/>
  </r>
  <r>
    <x v="1"/>
    <x v="2"/>
    <s v="Retail"/>
    <n v="6"/>
    <n v="3"/>
    <n v="18"/>
    <s v="Bronze"/>
  </r>
  <r>
    <x v="3"/>
    <x v="3"/>
    <s v="Retail"/>
    <n v="7"/>
    <n v="30"/>
    <n v="210"/>
    <s v="Gold"/>
  </r>
  <r>
    <x v="2"/>
    <x v="2"/>
    <s v="Partner"/>
    <n v="19"/>
    <n v="3"/>
    <n v="57"/>
    <s v="Gold"/>
  </r>
  <r>
    <x v="3"/>
    <x v="1"/>
    <s v="Retail"/>
    <n v="42"/>
    <n v="31"/>
    <n v="1302"/>
    <s v="Bronze"/>
  </r>
  <r>
    <x v="3"/>
    <x v="3"/>
    <s v="Online"/>
    <n v="37"/>
    <n v="20"/>
    <n v="740"/>
    <s v="Bronze"/>
  </r>
  <r>
    <x v="3"/>
    <x v="1"/>
    <s v="Partner"/>
    <n v="35"/>
    <n v="4"/>
    <n v="140"/>
    <s v="Bronze"/>
  </r>
  <r>
    <x v="2"/>
    <x v="2"/>
    <s v="Online"/>
    <n v="5"/>
    <n v="24"/>
    <n v="120"/>
    <s v="Bronze"/>
  </r>
  <r>
    <x v="2"/>
    <x v="1"/>
    <s v="Partner"/>
    <n v="40"/>
    <n v="18"/>
    <n v="720"/>
    <s v="Bronze"/>
  </r>
  <r>
    <x v="3"/>
    <x v="0"/>
    <s v="Online"/>
    <n v="18"/>
    <n v="40"/>
    <n v="720"/>
    <s v="Gold"/>
  </r>
  <r>
    <x v="3"/>
    <x v="2"/>
    <s v="Online"/>
    <n v="31"/>
    <n v="12"/>
    <n v="372"/>
    <s v="Silver"/>
  </r>
  <r>
    <x v="0"/>
    <x v="1"/>
    <s v="Retail"/>
    <n v="18"/>
    <n v="19"/>
    <n v="342"/>
    <s v="Bronze"/>
  </r>
  <r>
    <x v="1"/>
    <x v="0"/>
    <s v="Online"/>
    <n v="19"/>
    <n v="25"/>
    <n v="475"/>
    <s v="Gold"/>
  </r>
  <r>
    <x v="0"/>
    <x v="2"/>
    <s v="Retail"/>
    <n v="1"/>
    <n v="22"/>
    <n v="22"/>
    <s v="Gold"/>
  </r>
  <r>
    <x v="0"/>
    <x v="0"/>
    <s v="Online"/>
    <n v="18"/>
    <n v="37"/>
    <n v="666"/>
    <s v="Gold"/>
  </r>
  <r>
    <x v="0"/>
    <x v="3"/>
    <s v="Retail"/>
    <n v="24"/>
    <n v="31"/>
    <n v="744"/>
    <s v="Gold"/>
  </r>
  <r>
    <x v="0"/>
    <x v="0"/>
    <s v="Partner"/>
    <n v="33"/>
    <n v="25"/>
    <n v="825"/>
    <s v="Silver"/>
  </r>
  <r>
    <x v="2"/>
    <x v="1"/>
    <s v="Partner"/>
    <n v="48"/>
    <n v="17"/>
    <n v="816"/>
    <s v="Gold"/>
  </r>
  <r>
    <x v="3"/>
    <x v="1"/>
    <s v="Partner"/>
    <n v="3"/>
    <n v="17"/>
    <n v="51"/>
    <s v="Gold"/>
  </r>
  <r>
    <x v="3"/>
    <x v="3"/>
    <s v="Online"/>
    <n v="27"/>
    <n v="39"/>
    <n v="1053"/>
    <s v="Silver"/>
  </r>
  <r>
    <x v="3"/>
    <x v="0"/>
    <s v="Online"/>
    <n v="35"/>
    <n v="25"/>
    <n v="875"/>
    <s v="Gold"/>
  </r>
  <r>
    <x v="2"/>
    <x v="1"/>
    <s v="Online"/>
    <n v="19"/>
    <n v="25"/>
    <n v="475"/>
    <s v="Bronze"/>
  </r>
  <r>
    <x v="1"/>
    <x v="0"/>
    <s v="Online"/>
    <n v="4"/>
    <n v="7"/>
    <n v="28"/>
    <s v="Bronze"/>
  </r>
  <r>
    <x v="2"/>
    <x v="0"/>
    <s v="Partner"/>
    <n v="7"/>
    <n v="15"/>
    <n v="105"/>
    <s v="Bronze"/>
  </r>
  <r>
    <x v="2"/>
    <x v="2"/>
    <s v="Online"/>
    <n v="32"/>
    <n v="6"/>
    <n v="192"/>
    <s v="Bronze"/>
  </r>
  <r>
    <x v="2"/>
    <x v="2"/>
    <s v="Online"/>
    <n v="32"/>
    <n v="16"/>
    <n v="512"/>
    <s v="Gold"/>
  </r>
  <r>
    <x v="0"/>
    <x v="0"/>
    <s v="Online"/>
    <n v="3"/>
    <n v="15"/>
    <n v="45"/>
    <s v="Gold"/>
  </r>
  <r>
    <x v="0"/>
    <x v="1"/>
    <s v="Retail"/>
    <n v="46"/>
    <n v="33"/>
    <n v="1518"/>
    <s v="Silver"/>
  </r>
  <r>
    <x v="2"/>
    <x v="0"/>
    <s v="Online"/>
    <n v="49"/>
    <n v="15"/>
    <n v="735"/>
    <s v="Silver"/>
  </r>
  <r>
    <x v="1"/>
    <x v="2"/>
    <s v="Partner"/>
    <n v="21"/>
    <n v="22"/>
    <n v="462"/>
    <s v="Gold"/>
  </r>
  <r>
    <x v="0"/>
    <x v="0"/>
    <s v="Partner"/>
    <n v="17"/>
    <n v="9"/>
    <n v="153"/>
    <s v="Gold"/>
  </r>
  <r>
    <x v="3"/>
    <x v="0"/>
    <s v="Online"/>
    <n v="48"/>
    <n v="26"/>
    <n v="1248"/>
    <s v="Bronze"/>
  </r>
  <r>
    <x v="3"/>
    <x v="2"/>
    <s v="Retail"/>
    <n v="15"/>
    <n v="2"/>
    <n v="30"/>
    <s v="Bronze"/>
  </r>
  <r>
    <x v="2"/>
    <x v="1"/>
    <s v="Retail"/>
    <n v="8"/>
    <n v="5"/>
    <n v="40"/>
    <s v="Gold"/>
  </r>
  <r>
    <x v="1"/>
    <x v="0"/>
    <s v="Partner"/>
    <n v="34"/>
    <n v="22"/>
    <n v="748"/>
    <s v="Silver"/>
  </r>
  <r>
    <x v="3"/>
    <x v="1"/>
    <s v="Retail"/>
    <n v="2"/>
    <n v="26"/>
    <n v="52"/>
    <s v="Gold"/>
  </r>
  <r>
    <x v="2"/>
    <x v="1"/>
    <s v="Partner"/>
    <n v="32"/>
    <n v="21"/>
    <n v="672"/>
    <s v="Gold"/>
  </r>
  <r>
    <x v="1"/>
    <x v="0"/>
    <s v="Online"/>
    <n v="25"/>
    <n v="6"/>
    <n v="150"/>
    <s v="Bronze"/>
  </r>
  <r>
    <x v="2"/>
    <x v="0"/>
    <s v="Retail"/>
    <n v="13"/>
    <n v="21"/>
    <n v="273"/>
    <s v="Bronze"/>
  </r>
  <r>
    <x v="2"/>
    <x v="1"/>
    <s v="Retail"/>
    <n v="47"/>
    <n v="32"/>
    <n v="1504"/>
    <s v="Silver"/>
  </r>
  <r>
    <x v="1"/>
    <x v="1"/>
    <s v="Partner"/>
    <n v="15"/>
    <n v="22"/>
    <n v="330"/>
    <s v="Gold"/>
  </r>
  <r>
    <x v="2"/>
    <x v="1"/>
    <s v="Partner"/>
    <n v="16"/>
    <n v="19"/>
    <n v="304"/>
    <s v="Bronze"/>
  </r>
  <r>
    <x v="1"/>
    <x v="3"/>
    <s v="Partner"/>
    <n v="24"/>
    <n v="39"/>
    <n v="936"/>
    <s v="Gold"/>
  </r>
  <r>
    <x v="1"/>
    <x v="3"/>
    <s v="Online"/>
    <n v="39"/>
    <n v="35"/>
    <n v="1365"/>
    <s v="Bronze"/>
  </r>
  <r>
    <x v="1"/>
    <x v="0"/>
    <s v="Online"/>
    <n v="14"/>
    <n v="27"/>
    <n v="378"/>
    <s v="Gold"/>
  </r>
  <r>
    <x v="0"/>
    <x v="2"/>
    <s v="Partner"/>
    <n v="25"/>
    <n v="10"/>
    <n v="250"/>
    <s v="Silver"/>
  </r>
  <r>
    <x v="3"/>
    <x v="3"/>
    <s v="Partner"/>
    <n v="39"/>
    <n v="19"/>
    <n v="741"/>
    <s v="Silver"/>
  </r>
  <r>
    <x v="2"/>
    <x v="1"/>
    <s v="Partner"/>
    <n v="22"/>
    <n v="34"/>
    <n v="748"/>
    <s v="Bronze"/>
  </r>
  <r>
    <x v="3"/>
    <x v="3"/>
    <s v="Partner"/>
    <n v="40"/>
    <n v="19"/>
    <n v="760"/>
    <s v="Bronze"/>
  </r>
  <r>
    <x v="1"/>
    <x v="2"/>
    <s v="Partner"/>
    <n v="39"/>
    <n v="8"/>
    <n v="312"/>
    <s v="Bronze"/>
  </r>
  <r>
    <x v="2"/>
    <x v="1"/>
    <s v="Partner"/>
    <n v="14"/>
    <n v="20"/>
    <n v="280"/>
    <s v="Bronze"/>
  </r>
  <r>
    <x v="2"/>
    <x v="1"/>
    <s v="Partner"/>
    <n v="18"/>
    <n v="29"/>
    <n v="522"/>
    <s v="Silver"/>
  </r>
  <r>
    <x v="3"/>
    <x v="0"/>
    <s v="Online"/>
    <n v="4"/>
    <n v="3"/>
    <n v="12"/>
    <s v="Gold"/>
  </r>
  <r>
    <x v="2"/>
    <x v="2"/>
    <s v="Online"/>
    <n v="17"/>
    <n v="20"/>
    <n v="340"/>
    <s v="Gold"/>
  </r>
  <r>
    <x v="3"/>
    <x v="1"/>
    <s v="Retail"/>
    <n v="5"/>
    <n v="38"/>
    <n v="190"/>
    <s v="Bronze"/>
  </r>
  <r>
    <x v="2"/>
    <x v="0"/>
    <s v="Retail"/>
    <n v="7"/>
    <n v="26"/>
    <n v="182"/>
    <s v="Bronze"/>
  </r>
  <r>
    <x v="3"/>
    <x v="0"/>
    <s v="Retail"/>
    <n v="48"/>
    <n v="26"/>
    <n v="1248"/>
    <s v="Bronze"/>
  </r>
  <r>
    <x v="2"/>
    <x v="1"/>
    <s v="Online"/>
    <n v="7"/>
    <n v="40"/>
    <n v="280"/>
    <s v="Gold"/>
  </r>
  <r>
    <x v="2"/>
    <x v="3"/>
    <s v="Online"/>
    <n v="46"/>
    <n v="29"/>
    <n v="1334"/>
    <s v="Bronze"/>
  </r>
  <r>
    <x v="1"/>
    <x v="2"/>
    <s v="Online"/>
    <n v="12"/>
    <n v="25"/>
    <n v="300"/>
    <s v="Silver"/>
  </r>
  <r>
    <x v="2"/>
    <x v="1"/>
    <s v="Online"/>
    <n v="6"/>
    <n v="14"/>
    <n v="84"/>
    <s v="Gold"/>
  </r>
  <r>
    <x v="0"/>
    <x v="2"/>
    <s v="Retail"/>
    <n v="46"/>
    <n v="4"/>
    <n v="184"/>
    <s v="Bronze"/>
  </r>
  <r>
    <x v="1"/>
    <x v="1"/>
    <s v="Online"/>
    <n v="16"/>
    <n v="21"/>
    <n v="336"/>
    <s v="Bronze"/>
  </r>
  <r>
    <x v="0"/>
    <x v="1"/>
    <s v="Partner"/>
    <n v="11"/>
    <n v="24"/>
    <n v="264"/>
    <s v="Silver"/>
  </r>
  <r>
    <x v="3"/>
    <x v="3"/>
    <s v="Online"/>
    <n v="46"/>
    <n v="36"/>
    <n v="1656"/>
    <s v="Gold"/>
  </r>
  <r>
    <x v="0"/>
    <x v="3"/>
    <s v="Retail"/>
    <n v="33"/>
    <n v="2"/>
    <n v="66"/>
    <s v="Bronze"/>
  </r>
  <r>
    <x v="1"/>
    <x v="3"/>
    <s v="Online"/>
    <n v="28"/>
    <n v="19"/>
    <n v="532"/>
    <s v="Gold"/>
  </r>
  <r>
    <x v="2"/>
    <x v="3"/>
    <s v="Online"/>
    <n v="39"/>
    <n v="40"/>
    <n v="1560"/>
    <s v="Bronze"/>
  </r>
  <r>
    <x v="1"/>
    <x v="1"/>
    <s v="Partner"/>
    <n v="5"/>
    <n v="20"/>
    <n v="100"/>
    <s v="Bronze"/>
  </r>
  <r>
    <x v="0"/>
    <x v="3"/>
    <s v="Online"/>
    <n v="36"/>
    <n v="35"/>
    <n v="1260"/>
    <s v="Bronze"/>
  </r>
  <r>
    <x v="2"/>
    <x v="0"/>
    <s v="Online"/>
    <n v="30"/>
    <n v="26"/>
    <n v="780"/>
    <s v="Gold"/>
  </r>
  <r>
    <x v="0"/>
    <x v="3"/>
    <s v="Online"/>
    <n v="30"/>
    <n v="30"/>
    <n v="900"/>
    <s v="Silver"/>
  </r>
  <r>
    <x v="0"/>
    <x v="2"/>
    <s v="Partner"/>
    <n v="13"/>
    <n v="10"/>
    <n v="130"/>
    <s v="Gold"/>
  </r>
  <r>
    <x v="3"/>
    <x v="3"/>
    <s v="Online"/>
    <n v="33"/>
    <n v="32"/>
    <n v="1056"/>
    <s v="Gold"/>
  </r>
  <r>
    <x v="1"/>
    <x v="3"/>
    <s v="Online"/>
    <n v="35"/>
    <n v="39"/>
    <n v="1365"/>
    <s v="Bronze"/>
  </r>
  <r>
    <x v="0"/>
    <x v="3"/>
    <s v="Online"/>
    <n v="28"/>
    <n v="10"/>
    <n v="280"/>
    <s v="Bronze"/>
  </r>
  <r>
    <x v="3"/>
    <x v="0"/>
    <s v="Retail"/>
    <n v="40"/>
    <n v="39"/>
    <n v="1560"/>
    <s v="Gold"/>
  </r>
  <r>
    <x v="3"/>
    <x v="2"/>
    <s v="Partner"/>
    <n v="49"/>
    <n v="34"/>
    <n v="1666"/>
    <s v="Bronze"/>
  </r>
  <r>
    <x v="0"/>
    <x v="1"/>
    <s v="Retail"/>
    <n v="27"/>
    <n v="22"/>
    <n v="594"/>
    <s v="Bronze"/>
  </r>
  <r>
    <x v="3"/>
    <x v="2"/>
    <s v="Partner"/>
    <n v="48"/>
    <n v="12"/>
    <n v="576"/>
    <s v="Gold"/>
  </r>
  <r>
    <x v="3"/>
    <x v="3"/>
    <s v="Partner"/>
    <n v="20"/>
    <n v="22"/>
    <n v="440"/>
    <s v="Bronze"/>
  </r>
  <r>
    <x v="3"/>
    <x v="2"/>
    <s v="Partner"/>
    <n v="6"/>
    <n v="3"/>
    <n v="18"/>
    <s v="Bronze"/>
  </r>
  <r>
    <x v="2"/>
    <x v="2"/>
    <s v="Retail"/>
    <n v="29"/>
    <n v="3"/>
    <n v="87"/>
    <s v="Gold"/>
  </r>
  <r>
    <x v="3"/>
    <x v="0"/>
    <s v="Online"/>
    <n v="2"/>
    <n v="34"/>
    <n v="68"/>
    <s v="Bronze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Partner"/>
    <n v="46"/>
    <n v="22"/>
    <n v="1012"/>
    <x v="0"/>
  </r>
  <r>
    <x v="1"/>
    <s v="Cherry"/>
    <s v="Online"/>
    <n v="44"/>
    <n v="40"/>
    <n v="1760"/>
    <x v="1"/>
  </r>
  <r>
    <x v="1"/>
    <s v="Cherry"/>
    <s v="Partner"/>
    <n v="13"/>
    <n v="1"/>
    <n v="13"/>
    <x v="2"/>
  </r>
  <r>
    <x v="2"/>
    <s v="Apple"/>
    <s v="Partner"/>
    <n v="34"/>
    <n v="11"/>
    <n v="374"/>
    <x v="2"/>
  </r>
  <r>
    <x v="3"/>
    <s v="Walnut"/>
    <s v="Online"/>
    <n v="31"/>
    <n v="17"/>
    <n v="527"/>
    <x v="1"/>
  </r>
  <r>
    <x v="2"/>
    <s v="Apple"/>
    <s v="Online"/>
    <n v="15"/>
    <n v="34"/>
    <n v="510"/>
    <x v="0"/>
  </r>
  <r>
    <x v="2"/>
    <s v="Cherry"/>
    <s v="Online"/>
    <n v="25"/>
    <n v="8"/>
    <n v="200"/>
    <x v="1"/>
  </r>
  <r>
    <x v="1"/>
    <s v="Apple"/>
    <s v="Retail"/>
    <n v="6"/>
    <n v="3"/>
    <n v="18"/>
    <x v="0"/>
  </r>
  <r>
    <x v="3"/>
    <s v="Banana"/>
    <s v="Retail"/>
    <n v="7"/>
    <n v="30"/>
    <n v="210"/>
    <x v="2"/>
  </r>
  <r>
    <x v="2"/>
    <s v="Apple"/>
    <s v="Partner"/>
    <n v="19"/>
    <n v="3"/>
    <n v="57"/>
    <x v="2"/>
  </r>
  <r>
    <x v="3"/>
    <s v="Cherry"/>
    <s v="Retail"/>
    <n v="42"/>
    <n v="31"/>
    <n v="1302"/>
    <x v="0"/>
  </r>
  <r>
    <x v="3"/>
    <s v="Banana"/>
    <s v="Online"/>
    <n v="37"/>
    <n v="20"/>
    <n v="740"/>
    <x v="0"/>
  </r>
  <r>
    <x v="3"/>
    <s v="Cherry"/>
    <s v="Partner"/>
    <n v="35"/>
    <n v="4"/>
    <n v="140"/>
    <x v="0"/>
  </r>
  <r>
    <x v="2"/>
    <s v="Apple"/>
    <s v="Online"/>
    <n v="5"/>
    <n v="24"/>
    <n v="120"/>
    <x v="0"/>
  </r>
  <r>
    <x v="2"/>
    <s v="Cherry"/>
    <s v="Partner"/>
    <n v="40"/>
    <n v="18"/>
    <n v="720"/>
    <x v="0"/>
  </r>
  <r>
    <x v="3"/>
    <s v="Walnut"/>
    <s v="Online"/>
    <n v="18"/>
    <n v="40"/>
    <n v="720"/>
    <x v="2"/>
  </r>
  <r>
    <x v="3"/>
    <s v="Apple"/>
    <s v="Online"/>
    <n v="31"/>
    <n v="12"/>
    <n v="372"/>
    <x v="1"/>
  </r>
  <r>
    <x v="0"/>
    <s v="Cherry"/>
    <s v="Retail"/>
    <n v="18"/>
    <n v="19"/>
    <n v="342"/>
    <x v="0"/>
  </r>
  <r>
    <x v="1"/>
    <s v="Walnut"/>
    <s v="Online"/>
    <n v="19"/>
    <n v="25"/>
    <n v="475"/>
    <x v="2"/>
  </r>
  <r>
    <x v="0"/>
    <s v="Apple"/>
    <s v="Retail"/>
    <n v="1"/>
    <n v="22"/>
    <n v="22"/>
    <x v="2"/>
  </r>
  <r>
    <x v="0"/>
    <s v="Walnut"/>
    <s v="Online"/>
    <n v="18"/>
    <n v="37"/>
    <n v="666"/>
    <x v="2"/>
  </r>
  <r>
    <x v="0"/>
    <s v="Banana"/>
    <s v="Retail"/>
    <n v="24"/>
    <n v="31"/>
    <n v="744"/>
    <x v="2"/>
  </r>
  <r>
    <x v="0"/>
    <s v="Walnut"/>
    <s v="Partner"/>
    <n v="33"/>
    <n v="25"/>
    <n v="825"/>
    <x v="1"/>
  </r>
  <r>
    <x v="2"/>
    <s v="Cherry"/>
    <s v="Partner"/>
    <n v="48"/>
    <n v="17"/>
    <n v="816"/>
    <x v="2"/>
  </r>
  <r>
    <x v="3"/>
    <s v="Cherry"/>
    <s v="Partner"/>
    <n v="3"/>
    <n v="17"/>
    <n v="51"/>
    <x v="2"/>
  </r>
  <r>
    <x v="3"/>
    <s v="Banana"/>
    <s v="Online"/>
    <n v="27"/>
    <n v="39"/>
    <n v="1053"/>
    <x v="1"/>
  </r>
  <r>
    <x v="3"/>
    <s v="Walnut"/>
    <s v="Online"/>
    <n v="35"/>
    <n v="25"/>
    <n v="875"/>
    <x v="2"/>
  </r>
  <r>
    <x v="2"/>
    <s v="Cherry"/>
    <s v="Online"/>
    <n v="19"/>
    <n v="25"/>
    <n v="475"/>
    <x v="0"/>
  </r>
  <r>
    <x v="1"/>
    <s v="Walnut"/>
    <s v="Online"/>
    <n v="4"/>
    <n v="7"/>
    <n v="28"/>
    <x v="0"/>
  </r>
  <r>
    <x v="2"/>
    <s v="Walnut"/>
    <s v="Partner"/>
    <n v="7"/>
    <n v="15"/>
    <n v="105"/>
    <x v="0"/>
  </r>
  <r>
    <x v="2"/>
    <s v="Apple"/>
    <s v="Online"/>
    <n v="32"/>
    <n v="6"/>
    <n v="192"/>
    <x v="0"/>
  </r>
  <r>
    <x v="2"/>
    <s v="Apple"/>
    <s v="Online"/>
    <n v="32"/>
    <n v="16"/>
    <n v="512"/>
    <x v="2"/>
  </r>
  <r>
    <x v="0"/>
    <s v="Walnut"/>
    <s v="Online"/>
    <n v="3"/>
    <n v="15"/>
    <n v="45"/>
    <x v="2"/>
  </r>
  <r>
    <x v="0"/>
    <s v="Cherry"/>
    <s v="Retail"/>
    <n v="46"/>
    <n v="33"/>
    <n v="1518"/>
    <x v="1"/>
  </r>
  <r>
    <x v="2"/>
    <s v="Walnut"/>
    <s v="Online"/>
    <n v="49"/>
    <n v="15"/>
    <n v="735"/>
    <x v="1"/>
  </r>
  <r>
    <x v="1"/>
    <s v="Apple"/>
    <s v="Partner"/>
    <n v="21"/>
    <n v="22"/>
    <n v="462"/>
    <x v="2"/>
  </r>
  <r>
    <x v="0"/>
    <s v="Walnut"/>
    <s v="Partner"/>
    <n v="17"/>
    <n v="9"/>
    <n v="153"/>
    <x v="2"/>
  </r>
  <r>
    <x v="3"/>
    <s v="Walnut"/>
    <s v="Online"/>
    <n v="48"/>
    <n v="26"/>
    <n v="1248"/>
    <x v="0"/>
  </r>
  <r>
    <x v="3"/>
    <s v="Apple"/>
    <s v="Retail"/>
    <n v="15"/>
    <n v="2"/>
    <n v="30"/>
    <x v="0"/>
  </r>
  <r>
    <x v="2"/>
    <s v="Cherry"/>
    <s v="Retail"/>
    <n v="8"/>
    <n v="5"/>
    <n v="40"/>
    <x v="2"/>
  </r>
  <r>
    <x v="1"/>
    <s v="Walnut"/>
    <s v="Partner"/>
    <n v="34"/>
    <n v="22"/>
    <n v="748"/>
    <x v="1"/>
  </r>
  <r>
    <x v="3"/>
    <s v="Cherry"/>
    <s v="Retail"/>
    <n v="2"/>
    <n v="26"/>
    <n v="52"/>
    <x v="2"/>
  </r>
  <r>
    <x v="2"/>
    <s v="Cherry"/>
    <s v="Partner"/>
    <n v="32"/>
    <n v="21"/>
    <n v="672"/>
    <x v="2"/>
  </r>
  <r>
    <x v="1"/>
    <s v="Walnut"/>
    <s v="Online"/>
    <n v="25"/>
    <n v="6"/>
    <n v="150"/>
    <x v="0"/>
  </r>
  <r>
    <x v="2"/>
    <s v="Walnut"/>
    <s v="Retail"/>
    <n v="13"/>
    <n v="21"/>
    <n v="273"/>
    <x v="0"/>
  </r>
  <r>
    <x v="2"/>
    <s v="Cherry"/>
    <s v="Retail"/>
    <n v="47"/>
    <n v="32"/>
    <n v="1504"/>
    <x v="1"/>
  </r>
  <r>
    <x v="1"/>
    <s v="Cherry"/>
    <s v="Partner"/>
    <n v="15"/>
    <n v="22"/>
    <n v="330"/>
    <x v="2"/>
  </r>
  <r>
    <x v="2"/>
    <s v="Cherry"/>
    <s v="Partner"/>
    <n v="16"/>
    <n v="19"/>
    <n v="304"/>
    <x v="0"/>
  </r>
  <r>
    <x v="1"/>
    <s v="Banana"/>
    <s v="Partner"/>
    <n v="24"/>
    <n v="39"/>
    <n v="936"/>
    <x v="2"/>
  </r>
  <r>
    <x v="1"/>
    <s v="Banana"/>
    <s v="Online"/>
    <n v="39"/>
    <n v="35"/>
    <n v="1365"/>
    <x v="0"/>
  </r>
  <r>
    <x v="1"/>
    <s v="Walnut"/>
    <s v="Online"/>
    <n v="14"/>
    <n v="27"/>
    <n v="378"/>
    <x v="2"/>
  </r>
  <r>
    <x v="0"/>
    <s v="Apple"/>
    <s v="Partner"/>
    <n v="25"/>
    <n v="10"/>
    <n v="250"/>
    <x v="1"/>
  </r>
  <r>
    <x v="3"/>
    <s v="Banana"/>
    <s v="Partner"/>
    <n v="39"/>
    <n v="19"/>
    <n v="741"/>
    <x v="1"/>
  </r>
  <r>
    <x v="2"/>
    <s v="Cherry"/>
    <s v="Partner"/>
    <n v="22"/>
    <n v="34"/>
    <n v="748"/>
    <x v="0"/>
  </r>
  <r>
    <x v="3"/>
    <s v="Banana"/>
    <s v="Partner"/>
    <n v="40"/>
    <n v="19"/>
    <n v="760"/>
    <x v="0"/>
  </r>
  <r>
    <x v="1"/>
    <s v="Apple"/>
    <s v="Partner"/>
    <n v="39"/>
    <n v="8"/>
    <n v="312"/>
    <x v="0"/>
  </r>
  <r>
    <x v="2"/>
    <s v="Cherry"/>
    <s v="Partner"/>
    <n v="14"/>
    <n v="20"/>
    <n v="280"/>
    <x v="0"/>
  </r>
  <r>
    <x v="2"/>
    <s v="Cherry"/>
    <s v="Partner"/>
    <n v="18"/>
    <n v="29"/>
    <n v="522"/>
    <x v="1"/>
  </r>
  <r>
    <x v="3"/>
    <s v="Walnut"/>
    <s v="Online"/>
    <n v="4"/>
    <n v="3"/>
    <n v="12"/>
    <x v="2"/>
  </r>
  <r>
    <x v="2"/>
    <s v="Apple"/>
    <s v="Online"/>
    <n v="17"/>
    <n v="20"/>
    <n v="340"/>
    <x v="2"/>
  </r>
  <r>
    <x v="3"/>
    <s v="Cherry"/>
    <s v="Retail"/>
    <n v="5"/>
    <n v="38"/>
    <n v="190"/>
    <x v="0"/>
  </r>
  <r>
    <x v="2"/>
    <s v="Walnut"/>
    <s v="Retail"/>
    <n v="7"/>
    <n v="26"/>
    <n v="182"/>
    <x v="0"/>
  </r>
  <r>
    <x v="3"/>
    <s v="Walnut"/>
    <s v="Retail"/>
    <n v="48"/>
    <n v="26"/>
    <n v="1248"/>
    <x v="0"/>
  </r>
  <r>
    <x v="2"/>
    <s v="Cherry"/>
    <s v="Online"/>
    <n v="7"/>
    <n v="40"/>
    <n v="280"/>
    <x v="2"/>
  </r>
  <r>
    <x v="2"/>
    <s v="Banana"/>
    <s v="Online"/>
    <n v="46"/>
    <n v="29"/>
    <n v="1334"/>
    <x v="0"/>
  </r>
  <r>
    <x v="1"/>
    <s v="Apple"/>
    <s v="Online"/>
    <n v="12"/>
    <n v="25"/>
    <n v="300"/>
    <x v="1"/>
  </r>
  <r>
    <x v="2"/>
    <s v="Cherry"/>
    <s v="Online"/>
    <n v="6"/>
    <n v="14"/>
    <n v="84"/>
    <x v="2"/>
  </r>
  <r>
    <x v="0"/>
    <s v="Apple"/>
    <s v="Retail"/>
    <n v="46"/>
    <n v="4"/>
    <n v="184"/>
    <x v="0"/>
  </r>
  <r>
    <x v="1"/>
    <s v="Cherry"/>
    <s v="Online"/>
    <n v="16"/>
    <n v="21"/>
    <n v="336"/>
    <x v="0"/>
  </r>
  <r>
    <x v="0"/>
    <s v="Cherry"/>
    <s v="Partner"/>
    <n v="11"/>
    <n v="24"/>
    <n v="264"/>
    <x v="1"/>
  </r>
  <r>
    <x v="3"/>
    <s v="Banana"/>
    <s v="Online"/>
    <n v="46"/>
    <n v="36"/>
    <n v="1656"/>
    <x v="2"/>
  </r>
  <r>
    <x v="0"/>
    <s v="Banana"/>
    <s v="Retail"/>
    <n v="33"/>
    <n v="2"/>
    <n v="66"/>
    <x v="0"/>
  </r>
  <r>
    <x v="1"/>
    <s v="Banana"/>
    <s v="Online"/>
    <n v="28"/>
    <n v="19"/>
    <n v="532"/>
    <x v="2"/>
  </r>
  <r>
    <x v="2"/>
    <s v="Banana"/>
    <s v="Online"/>
    <n v="39"/>
    <n v="40"/>
    <n v="1560"/>
    <x v="0"/>
  </r>
  <r>
    <x v="1"/>
    <s v="Cherry"/>
    <s v="Partner"/>
    <n v="5"/>
    <n v="20"/>
    <n v="100"/>
    <x v="0"/>
  </r>
  <r>
    <x v="0"/>
    <s v="Banana"/>
    <s v="Online"/>
    <n v="36"/>
    <n v="35"/>
    <n v="1260"/>
    <x v="0"/>
  </r>
  <r>
    <x v="2"/>
    <s v="Walnut"/>
    <s v="Online"/>
    <n v="30"/>
    <n v="26"/>
    <n v="780"/>
    <x v="2"/>
  </r>
  <r>
    <x v="0"/>
    <s v="Banana"/>
    <s v="Online"/>
    <n v="30"/>
    <n v="30"/>
    <n v="900"/>
    <x v="1"/>
  </r>
  <r>
    <x v="0"/>
    <s v="Apple"/>
    <s v="Partner"/>
    <n v="13"/>
    <n v="10"/>
    <n v="130"/>
    <x v="2"/>
  </r>
  <r>
    <x v="3"/>
    <s v="Banana"/>
    <s v="Online"/>
    <n v="33"/>
    <n v="32"/>
    <n v="1056"/>
    <x v="2"/>
  </r>
  <r>
    <x v="1"/>
    <s v="Banana"/>
    <s v="Online"/>
    <n v="35"/>
    <n v="39"/>
    <n v="1365"/>
    <x v="0"/>
  </r>
  <r>
    <x v="0"/>
    <s v="Banana"/>
    <s v="Online"/>
    <n v="28"/>
    <n v="10"/>
    <n v="280"/>
    <x v="0"/>
  </r>
  <r>
    <x v="3"/>
    <s v="Walnut"/>
    <s v="Retail"/>
    <n v="40"/>
    <n v="39"/>
    <n v="1560"/>
    <x v="2"/>
  </r>
  <r>
    <x v="3"/>
    <s v="Apple"/>
    <s v="Partner"/>
    <n v="49"/>
    <n v="34"/>
    <n v="1666"/>
    <x v="0"/>
  </r>
  <r>
    <x v="0"/>
    <s v="Cherry"/>
    <s v="Retail"/>
    <n v="27"/>
    <n v="22"/>
    <n v="594"/>
    <x v="0"/>
  </r>
  <r>
    <x v="3"/>
    <s v="Apple"/>
    <s v="Partner"/>
    <n v="48"/>
    <n v="12"/>
    <n v="576"/>
    <x v="2"/>
  </r>
  <r>
    <x v="3"/>
    <s v="Banana"/>
    <s v="Partner"/>
    <n v="20"/>
    <n v="22"/>
    <n v="440"/>
    <x v="0"/>
  </r>
  <r>
    <x v="3"/>
    <s v="Apple"/>
    <s v="Partner"/>
    <n v="6"/>
    <n v="3"/>
    <n v="18"/>
    <x v="0"/>
  </r>
  <r>
    <x v="2"/>
    <s v="Apple"/>
    <s v="Retail"/>
    <n v="29"/>
    <n v="3"/>
    <n v="87"/>
    <x v="2"/>
  </r>
  <r>
    <x v="3"/>
    <s v="Walnut"/>
    <s v="Online"/>
    <n v="2"/>
    <n v="34"/>
    <n v="68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s v="Walnut"/>
    <s v="Partner"/>
    <n v="46"/>
    <n v="22"/>
    <n v="1012"/>
    <s v="Bronze"/>
  </r>
  <r>
    <x v="1"/>
    <s v="Cherry"/>
    <s v="Online"/>
    <n v="44"/>
    <n v="40"/>
    <n v="1760"/>
    <s v="Silver"/>
  </r>
  <r>
    <x v="1"/>
    <s v="Cherry"/>
    <s v="Partner"/>
    <n v="13"/>
    <n v="1"/>
    <n v="13"/>
    <s v="Gold"/>
  </r>
  <r>
    <x v="2"/>
    <s v="Apple"/>
    <s v="Partner"/>
    <n v="34"/>
    <n v="11"/>
    <n v="374"/>
    <s v="Gold"/>
  </r>
  <r>
    <x v="3"/>
    <s v="Walnut"/>
    <s v="Online"/>
    <n v="31"/>
    <n v="17"/>
    <n v="527"/>
    <s v="Silver"/>
  </r>
  <r>
    <x v="2"/>
    <s v="Apple"/>
    <s v="Online"/>
    <n v="15"/>
    <n v="34"/>
    <n v="510"/>
    <s v="Bronze"/>
  </r>
  <r>
    <x v="2"/>
    <s v="Cherry"/>
    <s v="Online"/>
    <n v="25"/>
    <n v="8"/>
    <n v="200"/>
    <s v="Silver"/>
  </r>
  <r>
    <x v="1"/>
    <s v="Apple"/>
    <s v="Retail"/>
    <n v="6"/>
    <n v="3"/>
    <n v="18"/>
    <s v="Bronze"/>
  </r>
  <r>
    <x v="3"/>
    <s v="Banana"/>
    <s v="Retail"/>
    <n v="7"/>
    <n v="30"/>
    <n v="210"/>
    <s v="Gold"/>
  </r>
  <r>
    <x v="2"/>
    <s v="Apple"/>
    <s v="Partner"/>
    <n v="19"/>
    <n v="3"/>
    <n v="57"/>
    <s v="Gold"/>
  </r>
  <r>
    <x v="3"/>
    <s v="Cherry"/>
    <s v="Retail"/>
    <n v="42"/>
    <n v="31"/>
    <n v="1302"/>
    <s v="Bronze"/>
  </r>
  <r>
    <x v="3"/>
    <s v="Banana"/>
    <s v="Online"/>
    <n v="37"/>
    <n v="20"/>
    <n v="740"/>
    <s v="Bronze"/>
  </r>
  <r>
    <x v="3"/>
    <s v="Cherry"/>
    <s v="Partner"/>
    <n v="35"/>
    <n v="4"/>
    <n v="140"/>
    <s v="Bronze"/>
  </r>
  <r>
    <x v="2"/>
    <s v="Apple"/>
    <s v="Online"/>
    <n v="5"/>
    <n v="24"/>
    <n v="120"/>
    <s v="Bronze"/>
  </r>
  <r>
    <x v="2"/>
    <s v="Cherry"/>
    <s v="Partner"/>
    <n v="40"/>
    <n v="18"/>
    <n v="720"/>
    <s v="Bronze"/>
  </r>
  <r>
    <x v="3"/>
    <s v="Walnut"/>
    <s v="Online"/>
    <n v="18"/>
    <n v="40"/>
    <n v="720"/>
    <s v="Gold"/>
  </r>
  <r>
    <x v="3"/>
    <s v="Apple"/>
    <s v="Online"/>
    <n v="31"/>
    <n v="12"/>
    <n v="372"/>
    <s v="Silver"/>
  </r>
  <r>
    <x v="0"/>
    <s v="Cherry"/>
    <s v="Retail"/>
    <n v="18"/>
    <n v="19"/>
    <n v="342"/>
    <s v="Bronze"/>
  </r>
  <r>
    <x v="1"/>
    <s v="Walnut"/>
    <s v="Online"/>
    <n v="19"/>
    <n v="25"/>
    <n v="475"/>
    <s v="Gold"/>
  </r>
  <r>
    <x v="0"/>
    <s v="Apple"/>
    <s v="Retail"/>
    <n v="1"/>
    <n v="22"/>
    <n v="22"/>
    <s v="Gold"/>
  </r>
  <r>
    <x v="0"/>
    <s v="Walnut"/>
    <s v="Online"/>
    <n v="18"/>
    <n v="37"/>
    <n v="666"/>
    <s v="Gold"/>
  </r>
  <r>
    <x v="0"/>
    <s v="Banana"/>
    <s v="Retail"/>
    <n v="24"/>
    <n v="31"/>
    <n v="744"/>
    <s v="Gold"/>
  </r>
  <r>
    <x v="0"/>
    <s v="Walnut"/>
    <s v="Partner"/>
    <n v="33"/>
    <n v="25"/>
    <n v="825"/>
    <s v="Silver"/>
  </r>
  <r>
    <x v="2"/>
    <s v="Cherry"/>
    <s v="Partner"/>
    <n v="48"/>
    <n v="17"/>
    <n v="816"/>
    <s v="Gold"/>
  </r>
  <r>
    <x v="3"/>
    <s v="Cherry"/>
    <s v="Partner"/>
    <n v="3"/>
    <n v="17"/>
    <n v="51"/>
    <s v="Gold"/>
  </r>
  <r>
    <x v="3"/>
    <s v="Banana"/>
    <s v="Online"/>
    <n v="27"/>
    <n v="39"/>
    <n v="1053"/>
    <s v="Silver"/>
  </r>
  <r>
    <x v="3"/>
    <s v="Walnut"/>
    <s v="Online"/>
    <n v="35"/>
    <n v="25"/>
    <n v="875"/>
    <s v="Gold"/>
  </r>
  <r>
    <x v="2"/>
    <s v="Cherry"/>
    <s v="Online"/>
    <n v="19"/>
    <n v="25"/>
    <n v="475"/>
    <s v="Bronze"/>
  </r>
  <r>
    <x v="1"/>
    <s v="Walnut"/>
    <s v="Online"/>
    <n v="4"/>
    <n v="7"/>
    <n v="28"/>
    <s v="Bronze"/>
  </r>
  <r>
    <x v="2"/>
    <s v="Walnut"/>
    <s v="Partner"/>
    <n v="7"/>
    <n v="15"/>
    <n v="105"/>
    <s v="Bronze"/>
  </r>
  <r>
    <x v="2"/>
    <s v="Apple"/>
    <s v="Online"/>
    <n v="32"/>
    <n v="6"/>
    <n v="192"/>
    <s v="Bronze"/>
  </r>
  <r>
    <x v="2"/>
    <s v="Apple"/>
    <s v="Online"/>
    <n v="32"/>
    <n v="16"/>
    <n v="512"/>
    <s v="Gold"/>
  </r>
  <r>
    <x v="0"/>
    <s v="Walnut"/>
    <s v="Online"/>
    <n v="3"/>
    <n v="15"/>
    <n v="45"/>
    <s v="Gold"/>
  </r>
  <r>
    <x v="0"/>
    <s v="Cherry"/>
    <s v="Retail"/>
    <n v="46"/>
    <n v="33"/>
    <n v="1518"/>
    <s v="Silver"/>
  </r>
  <r>
    <x v="2"/>
    <s v="Walnut"/>
    <s v="Online"/>
    <n v="49"/>
    <n v="15"/>
    <n v="735"/>
    <s v="Silver"/>
  </r>
  <r>
    <x v="1"/>
    <s v="Apple"/>
    <s v="Partner"/>
    <n v="21"/>
    <n v="22"/>
    <n v="462"/>
    <s v="Gold"/>
  </r>
  <r>
    <x v="0"/>
    <s v="Walnut"/>
    <s v="Partner"/>
    <n v="17"/>
    <n v="9"/>
    <n v="153"/>
    <s v="Gold"/>
  </r>
  <r>
    <x v="3"/>
    <s v="Walnut"/>
    <s v="Online"/>
    <n v="48"/>
    <n v="26"/>
    <n v="1248"/>
    <s v="Bronze"/>
  </r>
  <r>
    <x v="3"/>
    <s v="Apple"/>
    <s v="Retail"/>
    <n v="15"/>
    <n v="2"/>
    <n v="30"/>
    <s v="Bronze"/>
  </r>
  <r>
    <x v="2"/>
    <s v="Cherry"/>
    <s v="Retail"/>
    <n v="8"/>
    <n v="5"/>
    <n v="40"/>
    <s v="Gold"/>
  </r>
  <r>
    <x v="1"/>
    <s v="Walnut"/>
    <s v="Partner"/>
    <n v="34"/>
    <n v="22"/>
    <n v="748"/>
    <s v="Silver"/>
  </r>
  <r>
    <x v="3"/>
    <s v="Cherry"/>
    <s v="Retail"/>
    <n v="2"/>
    <n v="26"/>
    <n v="52"/>
    <s v="Gold"/>
  </r>
  <r>
    <x v="2"/>
    <s v="Cherry"/>
    <s v="Partner"/>
    <n v="32"/>
    <n v="21"/>
    <n v="672"/>
    <s v="Gold"/>
  </r>
  <r>
    <x v="1"/>
    <s v="Walnut"/>
    <s v="Online"/>
    <n v="25"/>
    <n v="6"/>
    <n v="150"/>
    <s v="Bronze"/>
  </r>
  <r>
    <x v="2"/>
    <s v="Walnut"/>
    <s v="Retail"/>
    <n v="13"/>
    <n v="21"/>
    <n v="273"/>
    <s v="Bronze"/>
  </r>
  <r>
    <x v="2"/>
    <s v="Cherry"/>
    <s v="Retail"/>
    <n v="47"/>
    <n v="32"/>
    <n v="1504"/>
    <s v="Silver"/>
  </r>
  <r>
    <x v="1"/>
    <s v="Cherry"/>
    <s v="Partner"/>
    <n v="15"/>
    <n v="22"/>
    <n v="330"/>
    <s v="Gold"/>
  </r>
  <r>
    <x v="2"/>
    <s v="Cherry"/>
    <s v="Partner"/>
    <n v="16"/>
    <n v="19"/>
    <n v="304"/>
    <s v="Bronze"/>
  </r>
  <r>
    <x v="1"/>
    <s v="Banana"/>
    <s v="Partner"/>
    <n v="24"/>
    <n v="39"/>
    <n v="936"/>
    <s v="Gold"/>
  </r>
  <r>
    <x v="1"/>
    <s v="Banana"/>
    <s v="Online"/>
    <n v="39"/>
    <n v="35"/>
    <n v="1365"/>
    <s v="Bronze"/>
  </r>
  <r>
    <x v="1"/>
    <s v="Walnut"/>
    <s v="Online"/>
    <n v="14"/>
    <n v="27"/>
    <n v="378"/>
    <s v="Gold"/>
  </r>
  <r>
    <x v="0"/>
    <s v="Apple"/>
    <s v="Partner"/>
    <n v="25"/>
    <n v="10"/>
    <n v="250"/>
    <s v="Silver"/>
  </r>
  <r>
    <x v="3"/>
    <s v="Banana"/>
    <s v="Partner"/>
    <n v="39"/>
    <n v="19"/>
    <n v="741"/>
    <s v="Silver"/>
  </r>
  <r>
    <x v="2"/>
    <s v="Cherry"/>
    <s v="Partner"/>
    <n v="22"/>
    <n v="34"/>
    <n v="748"/>
    <s v="Bronze"/>
  </r>
  <r>
    <x v="3"/>
    <s v="Banana"/>
    <s v="Partner"/>
    <n v="40"/>
    <n v="19"/>
    <n v="760"/>
    <s v="Bronze"/>
  </r>
  <r>
    <x v="1"/>
    <s v="Apple"/>
    <s v="Partner"/>
    <n v="39"/>
    <n v="8"/>
    <n v="312"/>
    <s v="Bronze"/>
  </r>
  <r>
    <x v="2"/>
    <s v="Cherry"/>
    <s v="Partner"/>
    <n v="14"/>
    <n v="20"/>
    <n v="280"/>
    <s v="Bronze"/>
  </r>
  <r>
    <x v="2"/>
    <s v="Cherry"/>
    <s v="Partner"/>
    <n v="18"/>
    <n v="29"/>
    <n v="522"/>
    <s v="Silver"/>
  </r>
  <r>
    <x v="3"/>
    <s v="Walnut"/>
    <s v="Online"/>
    <n v="4"/>
    <n v="3"/>
    <n v="12"/>
    <s v="Gold"/>
  </r>
  <r>
    <x v="2"/>
    <s v="Apple"/>
    <s v="Online"/>
    <n v="17"/>
    <n v="20"/>
    <n v="340"/>
    <s v="Gold"/>
  </r>
  <r>
    <x v="3"/>
    <s v="Cherry"/>
    <s v="Retail"/>
    <n v="5"/>
    <n v="38"/>
    <n v="190"/>
    <s v="Bronze"/>
  </r>
  <r>
    <x v="2"/>
    <s v="Walnut"/>
    <s v="Retail"/>
    <n v="7"/>
    <n v="26"/>
    <n v="182"/>
    <s v="Bronze"/>
  </r>
  <r>
    <x v="3"/>
    <s v="Walnut"/>
    <s v="Retail"/>
    <n v="48"/>
    <n v="26"/>
    <n v="1248"/>
    <s v="Bronze"/>
  </r>
  <r>
    <x v="2"/>
    <s v="Cherry"/>
    <s v="Online"/>
    <n v="7"/>
    <n v="40"/>
    <n v="280"/>
    <s v="Gold"/>
  </r>
  <r>
    <x v="2"/>
    <s v="Banana"/>
    <s v="Online"/>
    <n v="46"/>
    <n v="29"/>
    <n v="1334"/>
    <s v="Bronze"/>
  </r>
  <r>
    <x v="1"/>
    <s v="Apple"/>
    <s v="Online"/>
    <n v="12"/>
    <n v="25"/>
    <n v="300"/>
    <s v="Silver"/>
  </r>
  <r>
    <x v="2"/>
    <s v="Cherry"/>
    <s v="Online"/>
    <n v="6"/>
    <n v="14"/>
    <n v="84"/>
    <s v="Gold"/>
  </r>
  <r>
    <x v="0"/>
    <s v="Apple"/>
    <s v="Retail"/>
    <n v="46"/>
    <n v="4"/>
    <n v="184"/>
    <s v="Bronze"/>
  </r>
  <r>
    <x v="1"/>
    <s v="Cherry"/>
    <s v="Online"/>
    <n v="16"/>
    <n v="21"/>
    <n v="336"/>
    <s v="Bronze"/>
  </r>
  <r>
    <x v="0"/>
    <s v="Cherry"/>
    <s v="Partner"/>
    <n v="11"/>
    <n v="24"/>
    <n v="264"/>
    <s v="Silver"/>
  </r>
  <r>
    <x v="3"/>
    <s v="Banana"/>
    <s v="Online"/>
    <n v="46"/>
    <n v="36"/>
    <n v="1656"/>
    <s v="Gold"/>
  </r>
  <r>
    <x v="0"/>
    <s v="Banana"/>
    <s v="Retail"/>
    <n v="33"/>
    <n v="2"/>
    <n v="66"/>
    <s v="Bronze"/>
  </r>
  <r>
    <x v="1"/>
    <s v="Banana"/>
    <s v="Online"/>
    <n v="28"/>
    <n v="19"/>
    <n v="532"/>
    <s v="Gold"/>
  </r>
  <r>
    <x v="2"/>
    <s v="Banana"/>
    <s v="Online"/>
    <n v="39"/>
    <n v="40"/>
    <n v="1560"/>
    <s v="Bronze"/>
  </r>
  <r>
    <x v="1"/>
    <s v="Cherry"/>
    <s v="Partner"/>
    <n v="5"/>
    <n v="20"/>
    <n v="100"/>
    <s v="Bronze"/>
  </r>
  <r>
    <x v="0"/>
    <s v="Banana"/>
    <s v="Online"/>
    <n v="36"/>
    <n v="35"/>
    <n v="1260"/>
    <s v="Bronze"/>
  </r>
  <r>
    <x v="2"/>
    <s v="Walnut"/>
    <s v="Online"/>
    <n v="30"/>
    <n v="26"/>
    <n v="780"/>
    <s v="Gold"/>
  </r>
  <r>
    <x v="0"/>
    <s v="Banana"/>
    <s v="Online"/>
    <n v="30"/>
    <n v="30"/>
    <n v="900"/>
    <s v="Silver"/>
  </r>
  <r>
    <x v="0"/>
    <s v="Apple"/>
    <s v="Partner"/>
    <n v="13"/>
    <n v="10"/>
    <n v="130"/>
    <s v="Gold"/>
  </r>
  <r>
    <x v="3"/>
    <s v="Banana"/>
    <s v="Online"/>
    <n v="33"/>
    <n v="32"/>
    <n v="1056"/>
    <s v="Gold"/>
  </r>
  <r>
    <x v="1"/>
    <s v="Banana"/>
    <s v="Online"/>
    <n v="35"/>
    <n v="39"/>
    <n v="1365"/>
    <s v="Bronze"/>
  </r>
  <r>
    <x v="0"/>
    <s v="Banana"/>
    <s v="Online"/>
    <n v="28"/>
    <n v="10"/>
    <n v="280"/>
    <s v="Bronze"/>
  </r>
  <r>
    <x v="3"/>
    <s v="Walnut"/>
    <s v="Retail"/>
    <n v="40"/>
    <n v="39"/>
    <n v="1560"/>
    <s v="Gold"/>
  </r>
  <r>
    <x v="3"/>
    <s v="Apple"/>
    <s v="Partner"/>
    <n v="49"/>
    <n v="34"/>
    <n v="1666"/>
    <s v="Bronze"/>
  </r>
  <r>
    <x v="0"/>
    <s v="Cherry"/>
    <s v="Retail"/>
    <n v="27"/>
    <n v="22"/>
    <n v="594"/>
    <s v="Bronze"/>
  </r>
  <r>
    <x v="3"/>
    <s v="Apple"/>
    <s v="Partner"/>
    <n v="48"/>
    <n v="12"/>
    <n v="576"/>
    <s v="Gold"/>
  </r>
  <r>
    <x v="3"/>
    <s v="Banana"/>
    <s v="Partner"/>
    <n v="20"/>
    <n v="22"/>
    <n v="440"/>
    <s v="Bronze"/>
  </r>
  <r>
    <x v="3"/>
    <s v="Apple"/>
    <s v="Partner"/>
    <n v="6"/>
    <n v="3"/>
    <n v="18"/>
    <s v="Bronze"/>
  </r>
  <r>
    <x v="2"/>
    <s v="Apple"/>
    <s v="Retail"/>
    <n v="29"/>
    <n v="3"/>
    <n v="87"/>
    <s v="Gold"/>
  </r>
  <r>
    <x v="3"/>
    <s v="Walnut"/>
    <s v="Online"/>
    <n v="2"/>
    <n v="34"/>
    <n v="68"/>
    <s v="Bronz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AB451-3A57-464B-A3D6-8FCDA83B05A8}" name="PT1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9" firstHeaderRow="1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73643-7B90-4DB6-9812-DF7C9A191490}" name="PT2" cacheId="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J11" firstHeaderRow="1" firstDataRow="3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dataField="1"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094BD-1FF3-48B1-9103-E1FCC2916B7A}" name="PT3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G26" firstHeaderRow="1" firstDataRow="2" firstDataCol="2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2"/>
        <item x="3"/>
        <item x="1"/>
        <item x="0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E1411-56E3-4B04-AF73-456EC1B0E987}" name="PT4" cacheId="1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C24" firstHeaderRow="1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21DA7-9DD7-4500-9F42-6A39413B3580}" name="PT5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0" firstHeaderRow="1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2">
    <field x="6"/>
    <field x="0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CB71A-708B-4152-916F-B813FBC7A4DF}" name="PT6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9" firstHeaderRow="0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Average of Pric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7C42F-7CC9-41D5-B139-76DC44816D03}">
  <dimension ref="A1:G9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46</v>
      </c>
      <c r="E2">
        <v>22</v>
      </c>
      <c r="F2">
        <v>1012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44</v>
      </c>
      <c r="E3">
        <v>40</v>
      </c>
      <c r="F3">
        <v>1760</v>
      </c>
      <c r="G3" t="s">
        <v>14</v>
      </c>
    </row>
    <row r="4" spans="1:7" x14ac:dyDescent="0.3">
      <c r="A4" t="s">
        <v>11</v>
      </c>
      <c r="B4" t="s">
        <v>12</v>
      </c>
      <c r="C4" t="s">
        <v>9</v>
      </c>
      <c r="D4">
        <v>13</v>
      </c>
      <c r="E4">
        <v>1</v>
      </c>
      <c r="F4">
        <v>13</v>
      </c>
      <c r="G4" t="s">
        <v>15</v>
      </c>
    </row>
    <row r="5" spans="1:7" x14ac:dyDescent="0.3">
      <c r="A5" t="s">
        <v>16</v>
      </c>
      <c r="B5" t="s">
        <v>17</v>
      </c>
      <c r="C5" t="s">
        <v>9</v>
      </c>
      <c r="D5">
        <v>34</v>
      </c>
      <c r="E5">
        <v>11</v>
      </c>
      <c r="F5">
        <v>374</v>
      </c>
      <c r="G5" t="s">
        <v>15</v>
      </c>
    </row>
    <row r="6" spans="1:7" x14ac:dyDescent="0.3">
      <c r="A6" t="s">
        <v>18</v>
      </c>
      <c r="B6" t="s">
        <v>8</v>
      </c>
      <c r="C6" t="s">
        <v>13</v>
      </c>
      <c r="D6">
        <v>31</v>
      </c>
      <c r="E6">
        <v>17</v>
      </c>
      <c r="F6">
        <v>527</v>
      </c>
      <c r="G6" t="s">
        <v>14</v>
      </c>
    </row>
    <row r="7" spans="1:7" x14ac:dyDescent="0.3">
      <c r="A7" t="s">
        <v>16</v>
      </c>
      <c r="B7" t="s">
        <v>17</v>
      </c>
      <c r="C7" t="s">
        <v>13</v>
      </c>
      <c r="D7">
        <v>15</v>
      </c>
      <c r="E7">
        <v>34</v>
      </c>
      <c r="F7">
        <v>510</v>
      </c>
      <c r="G7" t="s">
        <v>10</v>
      </c>
    </row>
    <row r="8" spans="1:7" x14ac:dyDescent="0.3">
      <c r="A8" t="s">
        <v>16</v>
      </c>
      <c r="B8" t="s">
        <v>12</v>
      </c>
      <c r="C8" t="s">
        <v>13</v>
      </c>
      <c r="D8">
        <v>25</v>
      </c>
      <c r="E8">
        <v>8</v>
      </c>
      <c r="F8">
        <v>200</v>
      </c>
      <c r="G8" t="s">
        <v>14</v>
      </c>
    </row>
    <row r="9" spans="1:7" x14ac:dyDescent="0.3">
      <c r="A9" t="s">
        <v>11</v>
      </c>
      <c r="B9" t="s">
        <v>17</v>
      </c>
      <c r="C9" t="s">
        <v>19</v>
      </c>
      <c r="D9">
        <v>6</v>
      </c>
      <c r="E9">
        <v>3</v>
      </c>
      <c r="F9">
        <v>18</v>
      </c>
      <c r="G9" t="s">
        <v>10</v>
      </c>
    </row>
    <row r="10" spans="1:7" x14ac:dyDescent="0.3">
      <c r="A10" t="s">
        <v>18</v>
      </c>
      <c r="B10" t="s">
        <v>20</v>
      </c>
      <c r="C10" t="s">
        <v>19</v>
      </c>
      <c r="D10">
        <v>7</v>
      </c>
      <c r="E10">
        <v>30</v>
      </c>
      <c r="F10">
        <v>210</v>
      </c>
      <c r="G10" t="s">
        <v>15</v>
      </c>
    </row>
    <row r="11" spans="1:7" x14ac:dyDescent="0.3">
      <c r="A11" t="s">
        <v>16</v>
      </c>
      <c r="B11" t="s">
        <v>17</v>
      </c>
      <c r="C11" t="s">
        <v>9</v>
      </c>
      <c r="D11">
        <v>19</v>
      </c>
      <c r="E11">
        <v>3</v>
      </c>
      <c r="F11">
        <v>57</v>
      </c>
      <c r="G11" t="s">
        <v>15</v>
      </c>
    </row>
    <row r="12" spans="1:7" x14ac:dyDescent="0.3">
      <c r="A12" t="s">
        <v>18</v>
      </c>
      <c r="B12" t="s">
        <v>12</v>
      </c>
      <c r="C12" t="s">
        <v>19</v>
      </c>
      <c r="D12">
        <v>42</v>
      </c>
      <c r="E12">
        <v>31</v>
      </c>
      <c r="F12">
        <v>1302</v>
      </c>
      <c r="G12" t="s">
        <v>10</v>
      </c>
    </row>
    <row r="13" spans="1:7" x14ac:dyDescent="0.3">
      <c r="A13" t="s">
        <v>18</v>
      </c>
      <c r="B13" t="s">
        <v>20</v>
      </c>
      <c r="C13" t="s">
        <v>13</v>
      </c>
      <c r="D13">
        <v>37</v>
      </c>
      <c r="E13">
        <v>20</v>
      </c>
      <c r="F13">
        <v>740</v>
      </c>
      <c r="G13" t="s">
        <v>10</v>
      </c>
    </row>
    <row r="14" spans="1:7" x14ac:dyDescent="0.3">
      <c r="A14" t="s">
        <v>18</v>
      </c>
      <c r="B14" t="s">
        <v>12</v>
      </c>
      <c r="C14" t="s">
        <v>9</v>
      </c>
      <c r="D14">
        <v>35</v>
      </c>
      <c r="E14">
        <v>4</v>
      </c>
      <c r="F14">
        <v>140</v>
      </c>
      <c r="G14" t="s">
        <v>10</v>
      </c>
    </row>
    <row r="15" spans="1:7" x14ac:dyDescent="0.3">
      <c r="A15" t="s">
        <v>16</v>
      </c>
      <c r="B15" t="s">
        <v>17</v>
      </c>
      <c r="C15" t="s">
        <v>13</v>
      </c>
      <c r="D15">
        <v>5</v>
      </c>
      <c r="E15">
        <v>24</v>
      </c>
      <c r="F15">
        <v>120</v>
      </c>
      <c r="G15" t="s">
        <v>10</v>
      </c>
    </row>
    <row r="16" spans="1:7" x14ac:dyDescent="0.3">
      <c r="A16" t="s">
        <v>16</v>
      </c>
      <c r="B16" t="s">
        <v>12</v>
      </c>
      <c r="C16" t="s">
        <v>9</v>
      </c>
      <c r="D16">
        <v>40</v>
      </c>
      <c r="E16">
        <v>18</v>
      </c>
      <c r="F16">
        <v>720</v>
      </c>
      <c r="G16" t="s">
        <v>10</v>
      </c>
    </row>
    <row r="17" spans="1:7" x14ac:dyDescent="0.3">
      <c r="A17" t="s">
        <v>18</v>
      </c>
      <c r="B17" t="s">
        <v>8</v>
      </c>
      <c r="C17" t="s">
        <v>13</v>
      </c>
      <c r="D17">
        <v>18</v>
      </c>
      <c r="E17">
        <v>40</v>
      </c>
      <c r="F17">
        <v>720</v>
      </c>
      <c r="G17" t="s">
        <v>15</v>
      </c>
    </row>
    <row r="18" spans="1:7" x14ac:dyDescent="0.3">
      <c r="A18" t="s">
        <v>18</v>
      </c>
      <c r="B18" t="s">
        <v>17</v>
      </c>
      <c r="C18" t="s">
        <v>13</v>
      </c>
      <c r="D18">
        <v>31</v>
      </c>
      <c r="E18">
        <v>12</v>
      </c>
      <c r="F18">
        <v>372</v>
      </c>
      <c r="G18" t="s">
        <v>14</v>
      </c>
    </row>
    <row r="19" spans="1:7" x14ac:dyDescent="0.3">
      <c r="A19" t="s">
        <v>7</v>
      </c>
      <c r="B19" t="s">
        <v>12</v>
      </c>
      <c r="C19" t="s">
        <v>19</v>
      </c>
      <c r="D19">
        <v>18</v>
      </c>
      <c r="E19">
        <v>19</v>
      </c>
      <c r="F19">
        <v>342</v>
      </c>
      <c r="G19" t="s">
        <v>10</v>
      </c>
    </row>
    <row r="20" spans="1:7" x14ac:dyDescent="0.3">
      <c r="A20" t="s">
        <v>11</v>
      </c>
      <c r="B20" t="s">
        <v>8</v>
      </c>
      <c r="C20" t="s">
        <v>13</v>
      </c>
      <c r="D20">
        <v>19</v>
      </c>
      <c r="E20">
        <v>25</v>
      </c>
      <c r="F20">
        <v>475</v>
      </c>
      <c r="G20" t="s">
        <v>15</v>
      </c>
    </row>
    <row r="21" spans="1:7" x14ac:dyDescent="0.3">
      <c r="A21" t="s">
        <v>7</v>
      </c>
      <c r="B21" t="s">
        <v>17</v>
      </c>
      <c r="C21" t="s">
        <v>19</v>
      </c>
      <c r="D21">
        <v>1</v>
      </c>
      <c r="E21">
        <v>22</v>
      </c>
      <c r="F21">
        <v>22</v>
      </c>
      <c r="G21" t="s">
        <v>15</v>
      </c>
    </row>
    <row r="22" spans="1:7" x14ac:dyDescent="0.3">
      <c r="A22" t="s">
        <v>7</v>
      </c>
      <c r="B22" t="s">
        <v>8</v>
      </c>
      <c r="C22" t="s">
        <v>13</v>
      </c>
      <c r="D22">
        <v>18</v>
      </c>
      <c r="E22">
        <v>37</v>
      </c>
      <c r="F22">
        <v>666</v>
      </c>
      <c r="G22" t="s">
        <v>15</v>
      </c>
    </row>
    <row r="23" spans="1:7" x14ac:dyDescent="0.3">
      <c r="A23" t="s">
        <v>7</v>
      </c>
      <c r="B23" t="s">
        <v>20</v>
      </c>
      <c r="C23" t="s">
        <v>19</v>
      </c>
      <c r="D23">
        <v>24</v>
      </c>
      <c r="E23">
        <v>31</v>
      </c>
      <c r="F23">
        <v>744</v>
      </c>
      <c r="G23" t="s">
        <v>15</v>
      </c>
    </row>
    <row r="24" spans="1:7" x14ac:dyDescent="0.3">
      <c r="A24" t="s">
        <v>7</v>
      </c>
      <c r="B24" t="s">
        <v>8</v>
      </c>
      <c r="C24" t="s">
        <v>9</v>
      </c>
      <c r="D24">
        <v>33</v>
      </c>
      <c r="E24">
        <v>25</v>
      </c>
      <c r="F24">
        <v>825</v>
      </c>
      <c r="G24" t="s">
        <v>14</v>
      </c>
    </row>
    <row r="25" spans="1:7" x14ac:dyDescent="0.3">
      <c r="A25" t="s">
        <v>16</v>
      </c>
      <c r="B25" t="s">
        <v>12</v>
      </c>
      <c r="C25" t="s">
        <v>9</v>
      </c>
      <c r="D25">
        <v>48</v>
      </c>
      <c r="E25">
        <v>17</v>
      </c>
      <c r="F25">
        <v>816</v>
      </c>
      <c r="G25" t="s">
        <v>15</v>
      </c>
    </row>
    <row r="26" spans="1:7" x14ac:dyDescent="0.3">
      <c r="A26" t="s">
        <v>18</v>
      </c>
      <c r="B26" t="s">
        <v>12</v>
      </c>
      <c r="C26" t="s">
        <v>9</v>
      </c>
      <c r="D26">
        <v>3</v>
      </c>
      <c r="E26">
        <v>17</v>
      </c>
      <c r="F26">
        <v>51</v>
      </c>
      <c r="G26" t="s">
        <v>15</v>
      </c>
    </row>
    <row r="27" spans="1:7" x14ac:dyDescent="0.3">
      <c r="A27" t="s">
        <v>18</v>
      </c>
      <c r="B27" t="s">
        <v>20</v>
      </c>
      <c r="C27" t="s">
        <v>13</v>
      </c>
      <c r="D27">
        <v>27</v>
      </c>
      <c r="E27">
        <v>39</v>
      </c>
      <c r="F27">
        <v>1053</v>
      </c>
      <c r="G27" t="s">
        <v>14</v>
      </c>
    </row>
    <row r="28" spans="1:7" x14ac:dyDescent="0.3">
      <c r="A28" t="s">
        <v>18</v>
      </c>
      <c r="B28" t="s">
        <v>8</v>
      </c>
      <c r="C28" t="s">
        <v>13</v>
      </c>
      <c r="D28">
        <v>35</v>
      </c>
      <c r="E28">
        <v>25</v>
      </c>
      <c r="F28">
        <v>875</v>
      </c>
      <c r="G28" t="s">
        <v>15</v>
      </c>
    </row>
    <row r="29" spans="1:7" x14ac:dyDescent="0.3">
      <c r="A29" t="s">
        <v>16</v>
      </c>
      <c r="B29" t="s">
        <v>12</v>
      </c>
      <c r="C29" t="s">
        <v>13</v>
      </c>
      <c r="D29">
        <v>19</v>
      </c>
      <c r="E29">
        <v>25</v>
      </c>
      <c r="F29">
        <v>475</v>
      </c>
      <c r="G29" t="s">
        <v>10</v>
      </c>
    </row>
    <row r="30" spans="1:7" x14ac:dyDescent="0.3">
      <c r="A30" t="s">
        <v>11</v>
      </c>
      <c r="B30" t="s">
        <v>8</v>
      </c>
      <c r="C30" t="s">
        <v>13</v>
      </c>
      <c r="D30">
        <v>4</v>
      </c>
      <c r="E30">
        <v>7</v>
      </c>
      <c r="F30">
        <v>28</v>
      </c>
      <c r="G30" t="s">
        <v>10</v>
      </c>
    </row>
    <row r="31" spans="1:7" x14ac:dyDescent="0.3">
      <c r="A31" t="s">
        <v>16</v>
      </c>
      <c r="B31" t="s">
        <v>8</v>
      </c>
      <c r="C31" t="s">
        <v>9</v>
      </c>
      <c r="D31">
        <v>7</v>
      </c>
      <c r="E31">
        <v>15</v>
      </c>
      <c r="F31">
        <v>105</v>
      </c>
      <c r="G31" t="s">
        <v>10</v>
      </c>
    </row>
    <row r="32" spans="1:7" x14ac:dyDescent="0.3">
      <c r="A32" t="s">
        <v>16</v>
      </c>
      <c r="B32" t="s">
        <v>17</v>
      </c>
      <c r="C32" t="s">
        <v>13</v>
      </c>
      <c r="D32">
        <v>32</v>
      </c>
      <c r="E32">
        <v>6</v>
      </c>
      <c r="F32">
        <v>192</v>
      </c>
      <c r="G32" t="s">
        <v>10</v>
      </c>
    </row>
    <row r="33" spans="1:7" x14ac:dyDescent="0.3">
      <c r="A33" t="s">
        <v>16</v>
      </c>
      <c r="B33" t="s">
        <v>17</v>
      </c>
      <c r="C33" t="s">
        <v>13</v>
      </c>
      <c r="D33">
        <v>32</v>
      </c>
      <c r="E33">
        <v>16</v>
      </c>
      <c r="F33">
        <v>512</v>
      </c>
      <c r="G33" t="s">
        <v>15</v>
      </c>
    </row>
    <row r="34" spans="1:7" x14ac:dyDescent="0.3">
      <c r="A34" t="s">
        <v>7</v>
      </c>
      <c r="B34" t="s">
        <v>8</v>
      </c>
      <c r="C34" t="s">
        <v>13</v>
      </c>
      <c r="D34">
        <v>3</v>
      </c>
      <c r="E34">
        <v>15</v>
      </c>
      <c r="F34">
        <v>45</v>
      </c>
      <c r="G34" t="s">
        <v>15</v>
      </c>
    </row>
    <row r="35" spans="1:7" x14ac:dyDescent="0.3">
      <c r="A35" t="s">
        <v>7</v>
      </c>
      <c r="B35" t="s">
        <v>12</v>
      </c>
      <c r="C35" t="s">
        <v>19</v>
      </c>
      <c r="D35">
        <v>46</v>
      </c>
      <c r="E35">
        <v>33</v>
      </c>
      <c r="F35">
        <v>1518</v>
      </c>
      <c r="G35" t="s">
        <v>14</v>
      </c>
    </row>
    <row r="36" spans="1:7" x14ac:dyDescent="0.3">
      <c r="A36" t="s">
        <v>16</v>
      </c>
      <c r="B36" t="s">
        <v>8</v>
      </c>
      <c r="C36" t="s">
        <v>13</v>
      </c>
      <c r="D36">
        <v>49</v>
      </c>
      <c r="E36">
        <v>15</v>
      </c>
      <c r="F36">
        <v>735</v>
      </c>
      <c r="G36" t="s">
        <v>14</v>
      </c>
    </row>
    <row r="37" spans="1:7" x14ac:dyDescent="0.3">
      <c r="A37" t="s">
        <v>11</v>
      </c>
      <c r="B37" t="s">
        <v>17</v>
      </c>
      <c r="C37" t="s">
        <v>9</v>
      </c>
      <c r="D37">
        <v>21</v>
      </c>
      <c r="E37">
        <v>22</v>
      </c>
      <c r="F37">
        <v>462</v>
      </c>
      <c r="G37" t="s">
        <v>15</v>
      </c>
    </row>
    <row r="38" spans="1:7" x14ac:dyDescent="0.3">
      <c r="A38" t="s">
        <v>7</v>
      </c>
      <c r="B38" t="s">
        <v>8</v>
      </c>
      <c r="C38" t="s">
        <v>9</v>
      </c>
      <c r="D38">
        <v>17</v>
      </c>
      <c r="E38">
        <v>9</v>
      </c>
      <c r="F38">
        <v>153</v>
      </c>
      <c r="G38" t="s">
        <v>15</v>
      </c>
    </row>
    <row r="39" spans="1:7" x14ac:dyDescent="0.3">
      <c r="A39" t="s">
        <v>18</v>
      </c>
      <c r="B39" t="s">
        <v>8</v>
      </c>
      <c r="C39" t="s">
        <v>13</v>
      </c>
      <c r="D39">
        <v>48</v>
      </c>
      <c r="E39">
        <v>26</v>
      </c>
      <c r="F39">
        <v>1248</v>
      </c>
      <c r="G39" t="s">
        <v>10</v>
      </c>
    </row>
    <row r="40" spans="1:7" x14ac:dyDescent="0.3">
      <c r="A40" t="s">
        <v>18</v>
      </c>
      <c r="B40" t="s">
        <v>17</v>
      </c>
      <c r="C40" t="s">
        <v>19</v>
      </c>
      <c r="D40">
        <v>15</v>
      </c>
      <c r="E40">
        <v>2</v>
      </c>
      <c r="F40">
        <v>30</v>
      </c>
      <c r="G40" t="s">
        <v>10</v>
      </c>
    </row>
    <row r="41" spans="1:7" x14ac:dyDescent="0.3">
      <c r="A41" t="s">
        <v>16</v>
      </c>
      <c r="B41" t="s">
        <v>12</v>
      </c>
      <c r="C41" t="s">
        <v>19</v>
      </c>
      <c r="D41">
        <v>8</v>
      </c>
      <c r="E41">
        <v>5</v>
      </c>
      <c r="F41">
        <v>40</v>
      </c>
      <c r="G41" t="s">
        <v>15</v>
      </c>
    </row>
    <row r="42" spans="1:7" x14ac:dyDescent="0.3">
      <c r="A42" t="s">
        <v>11</v>
      </c>
      <c r="B42" t="s">
        <v>8</v>
      </c>
      <c r="C42" t="s">
        <v>9</v>
      </c>
      <c r="D42">
        <v>34</v>
      </c>
      <c r="E42">
        <v>22</v>
      </c>
      <c r="F42">
        <v>748</v>
      </c>
      <c r="G42" t="s">
        <v>14</v>
      </c>
    </row>
    <row r="43" spans="1:7" x14ac:dyDescent="0.3">
      <c r="A43" t="s">
        <v>18</v>
      </c>
      <c r="B43" t="s">
        <v>12</v>
      </c>
      <c r="C43" t="s">
        <v>19</v>
      </c>
      <c r="D43">
        <v>2</v>
      </c>
      <c r="E43">
        <v>26</v>
      </c>
      <c r="F43">
        <v>52</v>
      </c>
      <c r="G43" t="s">
        <v>15</v>
      </c>
    </row>
    <row r="44" spans="1:7" x14ac:dyDescent="0.3">
      <c r="A44" t="s">
        <v>16</v>
      </c>
      <c r="B44" t="s">
        <v>12</v>
      </c>
      <c r="C44" t="s">
        <v>9</v>
      </c>
      <c r="D44">
        <v>32</v>
      </c>
      <c r="E44">
        <v>21</v>
      </c>
      <c r="F44">
        <v>672</v>
      </c>
      <c r="G44" t="s">
        <v>15</v>
      </c>
    </row>
    <row r="45" spans="1:7" x14ac:dyDescent="0.3">
      <c r="A45" t="s">
        <v>11</v>
      </c>
      <c r="B45" t="s">
        <v>8</v>
      </c>
      <c r="C45" t="s">
        <v>13</v>
      </c>
      <c r="D45">
        <v>25</v>
      </c>
      <c r="E45">
        <v>6</v>
      </c>
      <c r="F45">
        <v>150</v>
      </c>
      <c r="G45" t="s">
        <v>10</v>
      </c>
    </row>
    <row r="46" spans="1:7" x14ac:dyDescent="0.3">
      <c r="A46" t="s">
        <v>16</v>
      </c>
      <c r="B46" t="s">
        <v>8</v>
      </c>
      <c r="C46" t="s">
        <v>19</v>
      </c>
      <c r="D46">
        <v>13</v>
      </c>
      <c r="E46">
        <v>21</v>
      </c>
      <c r="F46">
        <v>273</v>
      </c>
      <c r="G46" t="s">
        <v>10</v>
      </c>
    </row>
    <row r="47" spans="1:7" x14ac:dyDescent="0.3">
      <c r="A47" t="s">
        <v>16</v>
      </c>
      <c r="B47" t="s">
        <v>12</v>
      </c>
      <c r="C47" t="s">
        <v>19</v>
      </c>
      <c r="D47">
        <v>47</v>
      </c>
      <c r="E47">
        <v>32</v>
      </c>
      <c r="F47">
        <v>1504</v>
      </c>
      <c r="G47" t="s">
        <v>14</v>
      </c>
    </row>
    <row r="48" spans="1:7" x14ac:dyDescent="0.3">
      <c r="A48" t="s">
        <v>11</v>
      </c>
      <c r="B48" t="s">
        <v>12</v>
      </c>
      <c r="C48" t="s">
        <v>9</v>
      </c>
      <c r="D48">
        <v>15</v>
      </c>
      <c r="E48">
        <v>22</v>
      </c>
      <c r="F48">
        <v>330</v>
      </c>
      <c r="G48" t="s">
        <v>15</v>
      </c>
    </row>
    <row r="49" spans="1:7" x14ac:dyDescent="0.3">
      <c r="A49" t="s">
        <v>16</v>
      </c>
      <c r="B49" t="s">
        <v>12</v>
      </c>
      <c r="C49" t="s">
        <v>9</v>
      </c>
      <c r="D49">
        <v>16</v>
      </c>
      <c r="E49">
        <v>19</v>
      </c>
      <c r="F49">
        <v>304</v>
      </c>
      <c r="G49" t="s">
        <v>10</v>
      </c>
    </row>
    <row r="50" spans="1:7" x14ac:dyDescent="0.3">
      <c r="A50" t="s">
        <v>11</v>
      </c>
      <c r="B50" t="s">
        <v>20</v>
      </c>
      <c r="C50" t="s">
        <v>9</v>
      </c>
      <c r="D50">
        <v>24</v>
      </c>
      <c r="E50">
        <v>39</v>
      </c>
      <c r="F50">
        <v>936</v>
      </c>
      <c r="G50" t="s">
        <v>15</v>
      </c>
    </row>
    <row r="51" spans="1:7" x14ac:dyDescent="0.3">
      <c r="A51" t="s">
        <v>11</v>
      </c>
      <c r="B51" t="s">
        <v>20</v>
      </c>
      <c r="C51" t="s">
        <v>13</v>
      </c>
      <c r="D51">
        <v>39</v>
      </c>
      <c r="E51">
        <v>35</v>
      </c>
      <c r="F51">
        <v>1365</v>
      </c>
      <c r="G51" t="s">
        <v>10</v>
      </c>
    </row>
    <row r="52" spans="1:7" x14ac:dyDescent="0.3">
      <c r="A52" t="s">
        <v>11</v>
      </c>
      <c r="B52" t="s">
        <v>8</v>
      </c>
      <c r="C52" t="s">
        <v>13</v>
      </c>
      <c r="D52">
        <v>14</v>
      </c>
      <c r="E52">
        <v>27</v>
      </c>
      <c r="F52">
        <v>378</v>
      </c>
      <c r="G52" t="s">
        <v>15</v>
      </c>
    </row>
    <row r="53" spans="1:7" x14ac:dyDescent="0.3">
      <c r="A53" t="s">
        <v>7</v>
      </c>
      <c r="B53" t="s">
        <v>17</v>
      </c>
      <c r="C53" t="s">
        <v>9</v>
      </c>
      <c r="D53">
        <v>25</v>
      </c>
      <c r="E53">
        <v>10</v>
      </c>
      <c r="F53">
        <v>250</v>
      </c>
      <c r="G53" t="s">
        <v>14</v>
      </c>
    </row>
    <row r="54" spans="1:7" x14ac:dyDescent="0.3">
      <c r="A54" t="s">
        <v>18</v>
      </c>
      <c r="B54" t="s">
        <v>20</v>
      </c>
      <c r="C54" t="s">
        <v>9</v>
      </c>
      <c r="D54">
        <v>39</v>
      </c>
      <c r="E54">
        <v>19</v>
      </c>
      <c r="F54">
        <v>741</v>
      </c>
      <c r="G54" t="s">
        <v>14</v>
      </c>
    </row>
    <row r="55" spans="1:7" x14ac:dyDescent="0.3">
      <c r="A55" t="s">
        <v>16</v>
      </c>
      <c r="B55" t="s">
        <v>12</v>
      </c>
      <c r="C55" t="s">
        <v>9</v>
      </c>
      <c r="D55">
        <v>22</v>
      </c>
      <c r="E55">
        <v>34</v>
      </c>
      <c r="F55">
        <v>748</v>
      </c>
      <c r="G55" t="s">
        <v>10</v>
      </c>
    </row>
    <row r="56" spans="1:7" x14ac:dyDescent="0.3">
      <c r="A56" t="s">
        <v>18</v>
      </c>
      <c r="B56" t="s">
        <v>20</v>
      </c>
      <c r="C56" t="s">
        <v>9</v>
      </c>
      <c r="D56">
        <v>40</v>
      </c>
      <c r="E56">
        <v>19</v>
      </c>
      <c r="F56">
        <v>760</v>
      </c>
      <c r="G56" t="s">
        <v>10</v>
      </c>
    </row>
    <row r="57" spans="1:7" x14ac:dyDescent="0.3">
      <c r="A57" t="s">
        <v>11</v>
      </c>
      <c r="B57" t="s">
        <v>17</v>
      </c>
      <c r="C57" t="s">
        <v>9</v>
      </c>
      <c r="D57">
        <v>39</v>
      </c>
      <c r="E57">
        <v>8</v>
      </c>
      <c r="F57">
        <v>312</v>
      </c>
      <c r="G57" t="s">
        <v>10</v>
      </c>
    </row>
    <row r="58" spans="1:7" x14ac:dyDescent="0.3">
      <c r="A58" t="s">
        <v>16</v>
      </c>
      <c r="B58" t="s">
        <v>12</v>
      </c>
      <c r="C58" t="s">
        <v>9</v>
      </c>
      <c r="D58">
        <v>14</v>
      </c>
      <c r="E58">
        <v>20</v>
      </c>
      <c r="F58">
        <v>280</v>
      </c>
      <c r="G58" t="s">
        <v>10</v>
      </c>
    </row>
    <row r="59" spans="1:7" x14ac:dyDescent="0.3">
      <c r="A59" t="s">
        <v>16</v>
      </c>
      <c r="B59" t="s">
        <v>12</v>
      </c>
      <c r="C59" t="s">
        <v>9</v>
      </c>
      <c r="D59">
        <v>18</v>
      </c>
      <c r="E59">
        <v>29</v>
      </c>
      <c r="F59">
        <v>522</v>
      </c>
      <c r="G59" t="s">
        <v>14</v>
      </c>
    </row>
    <row r="60" spans="1:7" x14ac:dyDescent="0.3">
      <c r="A60" t="s">
        <v>18</v>
      </c>
      <c r="B60" t="s">
        <v>8</v>
      </c>
      <c r="C60" t="s">
        <v>13</v>
      </c>
      <c r="D60">
        <v>4</v>
      </c>
      <c r="E60">
        <v>3</v>
      </c>
      <c r="F60">
        <v>12</v>
      </c>
      <c r="G60" t="s">
        <v>15</v>
      </c>
    </row>
    <row r="61" spans="1:7" x14ac:dyDescent="0.3">
      <c r="A61" t="s">
        <v>16</v>
      </c>
      <c r="B61" t="s">
        <v>17</v>
      </c>
      <c r="C61" t="s">
        <v>13</v>
      </c>
      <c r="D61">
        <v>17</v>
      </c>
      <c r="E61">
        <v>20</v>
      </c>
      <c r="F61">
        <v>340</v>
      </c>
      <c r="G61" t="s">
        <v>15</v>
      </c>
    </row>
    <row r="62" spans="1:7" x14ac:dyDescent="0.3">
      <c r="A62" t="s">
        <v>18</v>
      </c>
      <c r="B62" t="s">
        <v>12</v>
      </c>
      <c r="C62" t="s">
        <v>19</v>
      </c>
      <c r="D62">
        <v>5</v>
      </c>
      <c r="E62">
        <v>38</v>
      </c>
      <c r="F62">
        <v>190</v>
      </c>
      <c r="G62" t="s">
        <v>10</v>
      </c>
    </row>
    <row r="63" spans="1:7" x14ac:dyDescent="0.3">
      <c r="A63" t="s">
        <v>16</v>
      </c>
      <c r="B63" t="s">
        <v>8</v>
      </c>
      <c r="C63" t="s">
        <v>19</v>
      </c>
      <c r="D63">
        <v>7</v>
      </c>
      <c r="E63">
        <v>26</v>
      </c>
      <c r="F63">
        <v>182</v>
      </c>
      <c r="G63" t="s">
        <v>10</v>
      </c>
    </row>
    <row r="64" spans="1:7" x14ac:dyDescent="0.3">
      <c r="A64" t="s">
        <v>18</v>
      </c>
      <c r="B64" t="s">
        <v>8</v>
      </c>
      <c r="C64" t="s">
        <v>19</v>
      </c>
      <c r="D64">
        <v>48</v>
      </c>
      <c r="E64">
        <v>26</v>
      </c>
      <c r="F64">
        <v>1248</v>
      </c>
      <c r="G64" t="s">
        <v>10</v>
      </c>
    </row>
    <row r="65" spans="1:7" x14ac:dyDescent="0.3">
      <c r="A65" t="s">
        <v>16</v>
      </c>
      <c r="B65" t="s">
        <v>12</v>
      </c>
      <c r="C65" t="s">
        <v>13</v>
      </c>
      <c r="D65">
        <v>7</v>
      </c>
      <c r="E65">
        <v>40</v>
      </c>
      <c r="F65">
        <v>280</v>
      </c>
      <c r="G65" t="s">
        <v>15</v>
      </c>
    </row>
    <row r="66" spans="1:7" x14ac:dyDescent="0.3">
      <c r="A66" t="s">
        <v>16</v>
      </c>
      <c r="B66" t="s">
        <v>20</v>
      </c>
      <c r="C66" t="s">
        <v>13</v>
      </c>
      <c r="D66">
        <v>46</v>
      </c>
      <c r="E66">
        <v>29</v>
      </c>
      <c r="F66">
        <v>1334</v>
      </c>
      <c r="G66" t="s">
        <v>10</v>
      </c>
    </row>
    <row r="67" spans="1:7" x14ac:dyDescent="0.3">
      <c r="A67" t="s">
        <v>11</v>
      </c>
      <c r="B67" t="s">
        <v>17</v>
      </c>
      <c r="C67" t="s">
        <v>13</v>
      </c>
      <c r="D67">
        <v>12</v>
      </c>
      <c r="E67">
        <v>25</v>
      </c>
      <c r="F67">
        <v>300</v>
      </c>
      <c r="G67" t="s">
        <v>14</v>
      </c>
    </row>
    <row r="68" spans="1:7" x14ac:dyDescent="0.3">
      <c r="A68" t="s">
        <v>16</v>
      </c>
      <c r="B68" t="s">
        <v>12</v>
      </c>
      <c r="C68" t="s">
        <v>13</v>
      </c>
      <c r="D68">
        <v>6</v>
      </c>
      <c r="E68">
        <v>14</v>
      </c>
      <c r="F68">
        <v>84</v>
      </c>
      <c r="G68" t="s">
        <v>15</v>
      </c>
    </row>
    <row r="69" spans="1:7" x14ac:dyDescent="0.3">
      <c r="A69" t="s">
        <v>7</v>
      </c>
      <c r="B69" t="s">
        <v>17</v>
      </c>
      <c r="C69" t="s">
        <v>19</v>
      </c>
      <c r="D69">
        <v>46</v>
      </c>
      <c r="E69">
        <v>4</v>
      </c>
      <c r="F69">
        <v>184</v>
      </c>
      <c r="G69" t="s">
        <v>10</v>
      </c>
    </row>
    <row r="70" spans="1:7" x14ac:dyDescent="0.3">
      <c r="A70" t="s">
        <v>11</v>
      </c>
      <c r="B70" t="s">
        <v>12</v>
      </c>
      <c r="C70" t="s">
        <v>13</v>
      </c>
      <c r="D70">
        <v>16</v>
      </c>
      <c r="E70">
        <v>21</v>
      </c>
      <c r="F70">
        <v>336</v>
      </c>
      <c r="G70" t="s">
        <v>10</v>
      </c>
    </row>
    <row r="71" spans="1:7" x14ac:dyDescent="0.3">
      <c r="A71" t="s">
        <v>7</v>
      </c>
      <c r="B71" t="s">
        <v>12</v>
      </c>
      <c r="C71" t="s">
        <v>9</v>
      </c>
      <c r="D71">
        <v>11</v>
      </c>
      <c r="E71">
        <v>24</v>
      </c>
      <c r="F71">
        <v>264</v>
      </c>
      <c r="G71" t="s">
        <v>14</v>
      </c>
    </row>
    <row r="72" spans="1:7" x14ac:dyDescent="0.3">
      <c r="A72" t="s">
        <v>18</v>
      </c>
      <c r="B72" t="s">
        <v>20</v>
      </c>
      <c r="C72" t="s">
        <v>13</v>
      </c>
      <c r="D72">
        <v>46</v>
      </c>
      <c r="E72">
        <v>36</v>
      </c>
      <c r="F72">
        <v>1656</v>
      </c>
      <c r="G72" t="s">
        <v>15</v>
      </c>
    </row>
    <row r="73" spans="1:7" x14ac:dyDescent="0.3">
      <c r="A73" t="s">
        <v>7</v>
      </c>
      <c r="B73" t="s">
        <v>20</v>
      </c>
      <c r="C73" t="s">
        <v>19</v>
      </c>
      <c r="D73">
        <v>33</v>
      </c>
      <c r="E73">
        <v>2</v>
      </c>
      <c r="F73">
        <v>66</v>
      </c>
      <c r="G73" t="s">
        <v>10</v>
      </c>
    </row>
    <row r="74" spans="1:7" x14ac:dyDescent="0.3">
      <c r="A74" t="s">
        <v>11</v>
      </c>
      <c r="B74" t="s">
        <v>20</v>
      </c>
      <c r="C74" t="s">
        <v>13</v>
      </c>
      <c r="D74">
        <v>28</v>
      </c>
      <c r="E74">
        <v>19</v>
      </c>
      <c r="F74">
        <v>532</v>
      </c>
      <c r="G74" t="s">
        <v>15</v>
      </c>
    </row>
    <row r="75" spans="1:7" x14ac:dyDescent="0.3">
      <c r="A75" t="s">
        <v>16</v>
      </c>
      <c r="B75" t="s">
        <v>20</v>
      </c>
      <c r="C75" t="s">
        <v>13</v>
      </c>
      <c r="D75">
        <v>39</v>
      </c>
      <c r="E75">
        <v>40</v>
      </c>
      <c r="F75">
        <v>1560</v>
      </c>
      <c r="G75" t="s">
        <v>10</v>
      </c>
    </row>
    <row r="76" spans="1:7" x14ac:dyDescent="0.3">
      <c r="A76" t="s">
        <v>11</v>
      </c>
      <c r="B76" t="s">
        <v>12</v>
      </c>
      <c r="C76" t="s">
        <v>9</v>
      </c>
      <c r="D76">
        <v>5</v>
      </c>
      <c r="E76">
        <v>20</v>
      </c>
      <c r="F76">
        <v>100</v>
      </c>
      <c r="G76" t="s">
        <v>10</v>
      </c>
    </row>
    <row r="77" spans="1:7" x14ac:dyDescent="0.3">
      <c r="A77" t="s">
        <v>7</v>
      </c>
      <c r="B77" t="s">
        <v>20</v>
      </c>
      <c r="C77" t="s">
        <v>13</v>
      </c>
      <c r="D77">
        <v>36</v>
      </c>
      <c r="E77">
        <v>35</v>
      </c>
      <c r="F77">
        <v>1260</v>
      </c>
      <c r="G77" t="s">
        <v>10</v>
      </c>
    </row>
    <row r="78" spans="1:7" x14ac:dyDescent="0.3">
      <c r="A78" t="s">
        <v>16</v>
      </c>
      <c r="B78" t="s">
        <v>8</v>
      </c>
      <c r="C78" t="s">
        <v>13</v>
      </c>
      <c r="D78">
        <v>30</v>
      </c>
      <c r="E78">
        <v>26</v>
      </c>
      <c r="F78">
        <v>780</v>
      </c>
      <c r="G78" t="s">
        <v>15</v>
      </c>
    </row>
    <row r="79" spans="1:7" x14ac:dyDescent="0.3">
      <c r="A79" t="s">
        <v>7</v>
      </c>
      <c r="B79" t="s">
        <v>20</v>
      </c>
      <c r="C79" t="s">
        <v>13</v>
      </c>
      <c r="D79">
        <v>30</v>
      </c>
      <c r="E79">
        <v>30</v>
      </c>
      <c r="F79">
        <v>900</v>
      </c>
      <c r="G79" t="s">
        <v>14</v>
      </c>
    </row>
    <row r="80" spans="1:7" x14ac:dyDescent="0.3">
      <c r="A80" t="s">
        <v>7</v>
      </c>
      <c r="B80" t="s">
        <v>17</v>
      </c>
      <c r="C80" t="s">
        <v>9</v>
      </c>
      <c r="D80">
        <v>13</v>
      </c>
      <c r="E80">
        <v>10</v>
      </c>
      <c r="F80">
        <v>130</v>
      </c>
      <c r="G80" t="s">
        <v>15</v>
      </c>
    </row>
    <row r="81" spans="1:7" x14ac:dyDescent="0.3">
      <c r="A81" t="s">
        <v>18</v>
      </c>
      <c r="B81" t="s">
        <v>20</v>
      </c>
      <c r="C81" t="s">
        <v>13</v>
      </c>
      <c r="D81">
        <v>33</v>
      </c>
      <c r="E81">
        <v>32</v>
      </c>
      <c r="F81">
        <v>1056</v>
      </c>
      <c r="G81" t="s">
        <v>15</v>
      </c>
    </row>
    <row r="82" spans="1:7" x14ac:dyDescent="0.3">
      <c r="A82" t="s">
        <v>11</v>
      </c>
      <c r="B82" t="s">
        <v>20</v>
      </c>
      <c r="C82" t="s">
        <v>13</v>
      </c>
      <c r="D82">
        <v>35</v>
      </c>
      <c r="E82">
        <v>39</v>
      </c>
      <c r="F82">
        <v>1365</v>
      </c>
      <c r="G82" t="s">
        <v>10</v>
      </c>
    </row>
    <row r="83" spans="1:7" x14ac:dyDescent="0.3">
      <c r="A83" t="s">
        <v>7</v>
      </c>
      <c r="B83" t="s">
        <v>20</v>
      </c>
      <c r="C83" t="s">
        <v>13</v>
      </c>
      <c r="D83">
        <v>28</v>
      </c>
      <c r="E83">
        <v>10</v>
      </c>
      <c r="F83">
        <v>280</v>
      </c>
      <c r="G83" t="s">
        <v>10</v>
      </c>
    </row>
    <row r="84" spans="1:7" x14ac:dyDescent="0.3">
      <c r="A84" t="s">
        <v>18</v>
      </c>
      <c r="B84" t="s">
        <v>8</v>
      </c>
      <c r="C84" t="s">
        <v>19</v>
      </c>
      <c r="D84">
        <v>40</v>
      </c>
      <c r="E84">
        <v>39</v>
      </c>
      <c r="F84">
        <v>1560</v>
      </c>
      <c r="G84" t="s">
        <v>15</v>
      </c>
    </row>
    <row r="85" spans="1:7" x14ac:dyDescent="0.3">
      <c r="A85" t="s">
        <v>18</v>
      </c>
      <c r="B85" t="s">
        <v>17</v>
      </c>
      <c r="C85" t="s">
        <v>9</v>
      </c>
      <c r="D85">
        <v>49</v>
      </c>
      <c r="E85">
        <v>34</v>
      </c>
      <c r="F85">
        <v>1666</v>
      </c>
      <c r="G85" t="s">
        <v>10</v>
      </c>
    </row>
    <row r="86" spans="1:7" x14ac:dyDescent="0.3">
      <c r="A86" t="s">
        <v>7</v>
      </c>
      <c r="B86" t="s">
        <v>12</v>
      </c>
      <c r="C86" t="s">
        <v>19</v>
      </c>
      <c r="D86">
        <v>27</v>
      </c>
      <c r="E86">
        <v>22</v>
      </c>
      <c r="F86">
        <v>594</v>
      </c>
      <c r="G86" t="s">
        <v>10</v>
      </c>
    </row>
    <row r="87" spans="1:7" x14ac:dyDescent="0.3">
      <c r="A87" t="s">
        <v>18</v>
      </c>
      <c r="B87" t="s">
        <v>17</v>
      </c>
      <c r="C87" t="s">
        <v>9</v>
      </c>
      <c r="D87">
        <v>48</v>
      </c>
      <c r="E87">
        <v>12</v>
      </c>
      <c r="F87">
        <v>576</v>
      </c>
      <c r="G87" t="s">
        <v>15</v>
      </c>
    </row>
    <row r="88" spans="1:7" x14ac:dyDescent="0.3">
      <c r="A88" t="s">
        <v>18</v>
      </c>
      <c r="B88" t="s">
        <v>20</v>
      </c>
      <c r="C88" t="s">
        <v>9</v>
      </c>
      <c r="D88">
        <v>20</v>
      </c>
      <c r="E88">
        <v>22</v>
      </c>
      <c r="F88">
        <v>440</v>
      </c>
      <c r="G88" t="s">
        <v>10</v>
      </c>
    </row>
    <row r="89" spans="1:7" x14ac:dyDescent="0.3">
      <c r="A89" t="s">
        <v>18</v>
      </c>
      <c r="B89" t="s">
        <v>17</v>
      </c>
      <c r="C89" t="s">
        <v>9</v>
      </c>
      <c r="D89">
        <v>6</v>
      </c>
      <c r="E89">
        <v>3</v>
      </c>
      <c r="F89">
        <v>18</v>
      </c>
      <c r="G89" t="s">
        <v>10</v>
      </c>
    </row>
    <row r="90" spans="1:7" x14ac:dyDescent="0.3">
      <c r="A90" t="s">
        <v>16</v>
      </c>
      <c r="B90" t="s">
        <v>17</v>
      </c>
      <c r="C90" t="s">
        <v>19</v>
      </c>
      <c r="D90">
        <v>29</v>
      </c>
      <c r="E90">
        <v>3</v>
      </c>
      <c r="F90">
        <v>87</v>
      </c>
      <c r="G90" t="s">
        <v>15</v>
      </c>
    </row>
    <row r="91" spans="1:7" x14ac:dyDescent="0.3">
      <c r="A91" t="s">
        <v>18</v>
      </c>
      <c r="B91" t="s">
        <v>8</v>
      </c>
      <c r="C91" t="s">
        <v>13</v>
      </c>
      <c r="D91">
        <v>2</v>
      </c>
      <c r="E91">
        <v>34</v>
      </c>
      <c r="F91">
        <v>68</v>
      </c>
      <c r="G9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0225-0CA7-45C0-B0D3-DDC7672D2172}">
  <dimension ref="B4:F1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6" x14ac:dyDescent="0.3">
      <c r="B4" s="1" t="s">
        <v>21</v>
      </c>
      <c r="C4" t="s">
        <v>23</v>
      </c>
      <c r="F4">
        <f>GETPIVOTDATA("Sum of Units",$B$4)</f>
        <v>2235</v>
      </c>
    </row>
    <row r="5" spans="2:6" x14ac:dyDescent="0.3">
      <c r="B5" s="2" t="s">
        <v>7</v>
      </c>
      <c r="C5" s="3">
        <v>455</v>
      </c>
      <c r="F5">
        <f>GETPIVOTDATA("Sum of Units",$B$4,"Region","East")</f>
        <v>455</v>
      </c>
    </row>
    <row r="6" spans="2:6" x14ac:dyDescent="0.3">
      <c r="B6" s="2" t="s">
        <v>11</v>
      </c>
      <c r="C6" s="3">
        <v>393</v>
      </c>
      <c r="F6" t="e">
        <f>GETPIVOTDATA("Sum of Units",$B$4,"Region","Nowhere")</f>
        <v>#REF!</v>
      </c>
    </row>
    <row r="7" spans="2:6" x14ac:dyDescent="0.3">
      <c r="B7" s="2" t="s">
        <v>18</v>
      </c>
      <c r="C7" s="3">
        <v>711</v>
      </c>
      <c r="F7">
        <f>GETPIVOTDATA("Units",$B$4)</f>
        <v>2235</v>
      </c>
    </row>
    <row r="8" spans="2:6" x14ac:dyDescent="0.3">
      <c r="B8" s="2" t="s">
        <v>16</v>
      </c>
      <c r="C8" s="3">
        <v>676</v>
      </c>
      <c r="F8">
        <f>GETPIVOTDATA("sum of units",$B$4,"region","east")</f>
        <v>455</v>
      </c>
    </row>
    <row r="9" spans="2:6" x14ac:dyDescent="0.3">
      <c r="B9" s="2" t="s">
        <v>22</v>
      </c>
      <c r="C9" s="3">
        <v>2235</v>
      </c>
      <c r="F9" t="e">
        <f>GETPIVOTDATA("Sum of Revenue",$B$4)</f>
        <v>#REF!</v>
      </c>
    </row>
    <row r="10" spans="2:6" x14ac:dyDescent="0.3">
      <c r="F10" t="e">
        <f>GETPIVOTDATA("Sum of Units",$B$4,"Product","Apple")</f>
        <v>#REF!</v>
      </c>
    </row>
    <row r="11" spans="2:6" x14ac:dyDescent="0.3">
      <c r="F11" t="e">
        <f>GETPIVOTDATA("Sum of Units",$B$4,"Region","East","Product","Apple")</f>
        <v>#REF!</v>
      </c>
    </row>
    <row r="12" spans="2:6" x14ac:dyDescent="0.3">
      <c r="F12" t="e">
        <f>GETPIVOTDATA("Sum of Units",$B$4,"Product","Apple","Region","East")</f>
        <v>#REF!</v>
      </c>
    </row>
    <row r="14" spans="2:6" x14ac:dyDescent="0.3">
      <c r="F14" t="e">
        <f>GETPIVOTDATA("Sum of Units",$B$4,"Region")</f>
        <v>#REF!</v>
      </c>
    </row>
    <row r="15" spans="2:6" x14ac:dyDescent="0.3">
      <c r="F15">
        <f>GETPIVOTDATA("Sum of Units",$B$4,"Region","East","Region","East")</f>
        <v>455</v>
      </c>
    </row>
    <row r="16" spans="2:6" x14ac:dyDescent="0.3">
      <c r="F16" t="e">
        <f>GETPIVOTDATA("Sum of Units",$B$4,"Channel","Online")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F637-3189-466E-A175-E493A5C819D4}">
  <dimension ref="B4:M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4.109375" bestFit="1" customWidth="1"/>
    <col min="5" max="5" width="11.33203125" bestFit="1" customWidth="1"/>
    <col min="6" max="6" width="14.109375" bestFit="1" customWidth="1"/>
    <col min="7" max="7" width="11.33203125" bestFit="1" customWidth="1"/>
    <col min="8" max="8" width="14.109375" bestFit="1" customWidth="1"/>
    <col min="9" max="9" width="15.88671875" bestFit="1" customWidth="1"/>
    <col min="10" max="10" width="18.6640625" bestFit="1" customWidth="1"/>
  </cols>
  <sheetData>
    <row r="4" spans="2:13" x14ac:dyDescent="0.3">
      <c r="C4" s="1" t="s">
        <v>24</v>
      </c>
      <c r="M4">
        <f>GETPIVOTDATA("Sum of Units",$B$4)</f>
        <v>2235</v>
      </c>
    </row>
    <row r="5" spans="2:13" x14ac:dyDescent="0.3">
      <c r="C5" t="s">
        <v>13</v>
      </c>
      <c r="E5" t="s">
        <v>9</v>
      </c>
      <c r="G5" t="s">
        <v>19</v>
      </c>
      <c r="I5" t="s">
        <v>25</v>
      </c>
      <c r="J5" t="s">
        <v>26</v>
      </c>
      <c r="M5">
        <f>GETPIVOTDATA("Sum of Units",$B$4,"Region","East")</f>
        <v>455</v>
      </c>
    </row>
    <row r="6" spans="2:13" x14ac:dyDescent="0.3">
      <c r="B6" s="1" t="s">
        <v>21</v>
      </c>
      <c r="C6" t="s">
        <v>23</v>
      </c>
      <c r="D6" t="s">
        <v>27</v>
      </c>
      <c r="E6" t="s">
        <v>23</v>
      </c>
      <c r="F6" t="s">
        <v>27</v>
      </c>
      <c r="G6" t="s">
        <v>23</v>
      </c>
      <c r="H6" t="s">
        <v>27</v>
      </c>
      <c r="M6">
        <f>GETPIVOTDATA("Sum of Units",$B$4,"Channel","Online")</f>
        <v>985</v>
      </c>
    </row>
    <row r="7" spans="2:13" x14ac:dyDescent="0.3">
      <c r="B7" s="2" t="s">
        <v>7</v>
      </c>
      <c r="C7" s="3">
        <v>115</v>
      </c>
      <c r="D7" s="3">
        <v>3151</v>
      </c>
      <c r="E7" s="3">
        <v>145</v>
      </c>
      <c r="F7" s="3">
        <v>2634</v>
      </c>
      <c r="G7" s="3">
        <v>195</v>
      </c>
      <c r="H7" s="3">
        <v>3470</v>
      </c>
      <c r="I7" s="3">
        <v>455</v>
      </c>
      <c r="J7" s="3">
        <v>9255</v>
      </c>
      <c r="M7">
        <f>GETPIVOTDATA("Sum of Units",$B$4,"Region","East","Channel","Online")</f>
        <v>115</v>
      </c>
    </row>
    <row r="8" spans="2:13" x14ac:dyDescent="0.3">
      <c r="B8" s="2" t="s">
        <v>11</v>
      </c>
      <c r="C8" s="3">
        <v>236</v>
      </c>
      <c r="D8" s="3">
        <v>6689</v>
      </c>
      <c r="E8" s="3">
        <v>151</v>
      </c>
      <c r="F8" s="3">
        <v>2901</v>
      </c>
      <c r="G8" s="3">
        <v>6</v>
      </c>
      <c r="H8" s="3">
        <v>18</v>
      </c>
      <c r="I8" s="3">
        <v>393</v>
      </c>
      <c r="J8" s="3">
        <v>9608</v>
      </c>
      <c r="M8">
        <f>GETPIVOTDATA("Sum of Units",$B$4,"Channel","Online","Region","East")</f>
        <v>115</v>
      </c>
    </row>
    <row r="9" spans="2:13" x14ac:dyDescent="0.3">
      <c r="B9" s="2" t="s">
        <v>18</v>
      </c>
      <c r="C9" s="3">
        <v>312</v>
      </c>
      <c r="D9" s="3">
        <v>8327</v>
      </c>
      <c r="E9" s="3">
        <v>240</v>
      </c>
      <c r="F9" s="3">
        <v>4392</v>
      </c>
      <c r="G9" s="3">
        <v>159</v>
      </c>
      <c r="H9" s="3">
        <v>4592</v>
      </c>
      <c r="I9" s="3">
        <v>711</v>
      </c>
      <c r="J9" s="3">
        <v>17311</v>
      </c>
      <c r="M9" t="e">
        <f>GETPIVOTDATA("Sum of Units",$B$4,"Region","East","Channel","Nope")</f>
        <v>#REF!</v>
      </c>
    </row>
    <row r="10" spans="2:13" x14ac:dyDescent="0.3">
      <c r="B10" s="2" t="s">
        <v>16</v>
      </c>
      <c r="C10" s="3">
        <v>322</v>
      </c>
      <c r="D10" s="3">
        <v>7122</v>
      </c>
      <c r="E10" s="3">
        <v>250</v>
      </c>
      <c r="F10" s="3">
        <v>4598</v>
      </c>
      <c r="G10" s="3">
        <v>104</v>
      </c>
      <c r="H10" s="3">
        <v>2086</v>
      </c>
      <c r="I10" s="3">
        <v>676</v>
      </c>
      <c r="J10" s="3">
        <v>13806</v>
      </c>
      <c r="M10">
        <f>GETPIVOTDATA("Sum of Revenue",$B$4,"Region","West")</f>
        <v>13806</v>
      </c>
    </row>
    <row r="11" spans="2:13" x14ac:dyDescent="0.3">
      <c r="B11" s="2" t="s">
        <v>22</v>
      </c>
      <c r="C11" s="3">
        <v>985</v>
      </c>
      <c r="D11" s="3">
        <v>25289</v>
      </c>
      <c r="E11" s="3">
        <v>786</v>
      </c>
      <c r="F11" s="3">
        <v>14525</v>
      </c>
      <c r="G11" s="3">
        <v>464</v>
      </c>
      <c r="H11" s="3">
        <v>10166</v>
      </c>
      <c r="I11" s="3">
        <v>2235</v>
      </c>
      <c r="J11" s="3">
        <v>49980</v>
      </c>
      <c r="M11" t="e">
        <f>GETPIVOTDATA("Sum of Units",$B$4,"Product","Apple")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7434-FB47-4ABF-8387-3D5590863B16}">
  <dimension ref="B4:J26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6" width="10" bestFit="1" customWidth="1"/>
    <col min="7" max="7" width="10.5546875" bestFit="1" customWidth="1"/>
  </cols>
  <sheetData>
    <row r="4" spans="2:10" x14ac:dyDescent="0.3">
      <c r="B4" s="1" t="s">
        <v>23</v>
      </c>
      <c r="D4" s="1" t="s">
        <v>2</v>
      </c>
      <c r="J4">
        <f>GETPIVOTDATA("Sum of Units",$B$4,"Region","East")</f>
        <v>455</v>
      </c>
    </row>
    <row r="5" spans="2:10" x14ac:dyDescent="0.3">
      <c r="B5" s="1" t="s">
        <v>0</v>
      </c>
      <c r="C5" s="1" t="s">
        <v>1</v>
      </c>
      <c r="D5" t="s">
        <v>13</v>
      </c>
      <c r="E5" t="s">
        <v>9</v>
      </c>
      <c r="F5" t="s">
        <v>19</v>
      </c>
      <c r="G5" t="s">
        <v>22</v>
      </c>
      <c r="J5">
        <f>GETPIVOTDATA("Sum of Units",$B$4,"Region","East","Product","Apple")</f>
        <v>85</v>
      </c>
    </row>
    <row r="6" spans="2:10" x14ac:dyDescent="0.3">
      <c r="B6" t="s">
        <v>7</v>
      </c>
      <c r="C6" t="s">
        <v>17</v>
      </c>
      <c r="D6" s="3"/>
      <c r="E6" s="3">
        <v>38</v>
      </c>
      <c r="F6" s="3">
        <v>47</v>
      </c>
      <c r="G6" s="3">
        <v>85</v>
      </c>
      <c r="J6" t="e">
        <f>GETPIVOTDATA("Sum of Units",$B$4,"Product","Apple")</f>
        <v>#REF!</v>
      </c>
    </row>
    <row r="7" spans="2:10" x14ac:dyDescent="0.3">
      <c r="C7" t="s">
        <v>20</v>
      </c>
      <c r="D7" s="3">
        <v>94</v>
      </c>
      <c r="E7" s="3"/>
      <c r="F7" s="3">
        <v>57</v>
      </c>
      <c r="G7" s="3">
        <v>151</v>
      </c>
      <c r="J7">
        <f>GETPIVOTDATA("Sum of Units",$B$4,"Region","East","Product","Apple","Channel","Online")</f>
        <v>0</v>
      </c>
    </row>
    <row r="8" spans="2:10" x14ac:dyDescent="0.3">
      <c r="C8" t="s">
        <v>12</v>
      </c>
      <c r="D8" s="3"/>
      <c r="E8" s="3">
        <v>11</v>
      </c>
      <c r="F8" s="3">
        <v>91</v>
      </c>
      <c r="G8" s="3">
        <v>102</v>
      </c>
      <c r="J8">
        <f>GETPIVOTDATA("Sum of Units",$B$4,"Region","East","Channel","Online")</f>
        <v>115</v>
      </c>
    </row>
    <row r="9" spans="2:10" x14ac:dyDescent="0.3">
      <c r="C9" t="s">
        <v>8</v>
      </c>
      <c r="D9" s="3">
        <v>21</v>
      </c>
      <c r="E9" s="3">
        <v>96</v>
      </c>
      <c r="F9" s="3"/>
      <c r="G9" s="3">
        <v>117</v>
      </c>
      <c r="J9" t="e">
        <f>GETPIVOTDATA("Sum of Units",$B$4,"Region","East","Product","Apple","Channel","Online","Tier","Gold")</f>
        <v>#REF!</v>
      </c>
    </row>
    <row r="10" spans="2:10" x14ac:dyDescent="0.3">
      <c r="B10" t="s">
        <v>28</v>
      </c>
      <c r="D10" s="3">
        <v>115</v>
      </c>
      <c r="E10" s="3">
        <v>145</v>
      </c>
      <c r="F10" s="3">
        <v>195</v>
      </c>
      <c r="G10" s="3">
        <v>455</v>
      </c>
    </row>
    <row r="11" spans="2:10" x14ac:dyDescent="0.3">
      <c r="B11" t="s">
        <v>11</v>
      </c>
      <c r="C11" t="s">
        <v>17</v>
      </c>
      <c r="D11" s="3">
        <v>12</v>
      </c>
      <c r="E11" s="3">
        <v>60</v>
      </c>
      <c r="F11" s="3">
        <v>6</v>
      </c>
      <c r="G11" s="3">
        <v>78</v>
      </c>
    </row>
    <row r="12" spans="2:10" x14ac:dyDescent="0.3">
      <c r="C12" t="s">
        <v>20</v>
      </c>
      <c r="D12" s="3">
        <v>102</v>
      </c>
      <c r="E12" s="3">
        <v>24</v>
      </c>
      <c r="F12" s="3"/>
      <c r="G12" s="3">
        <v>126</v>
      </c>
    </row>
    <row r="13" spans="2:10" x14ac:dyDescent="0.3">
      <c r="C13" t="s">
        <v>12</v>
      </c>
      <c r="D13" s="3">
        <v>60</v>
      </c>
      <c r="E13" s="3">
        <v>33</v>
      </c>
      <c r="F13" s="3"/>
      <c r="G13" s="3">
        <v>93</v>
      </c>
    </row>
    <row r="14" spans="2:10" x14ac:dyDescent="0.3">
      <c r="C14" t="s">
        <v>8</v>
      </c>
      <c r="D14" s="3">
        <v>62</v>
      </c>
      <c r="E14" s="3">
        <v>34</v>
      </c>
      <c r="F14" s="3"/>
      <c r="G14" s="3">
        <v>96</v>
      </c>
    </row>
    <row r="15" spans="2:10" x14ac:dyDescent="0.3">
      <c r="B15" t="s">
        <v>29</v>
      </c>
      <c r="D15" s="3">
        <v>236</v>
      </c>
      <c r="E15" s="3">
        <v>151</v>
      </c>
      <c r="F15" s="3">
        <v>6</v>
      </c>
      <c r="G15" s="3">
        <v>393</v>
      </c>
    </row>
    <row r="16" spans="2:10" x14ac:dyDescent="0.3">
      <c r="B16" t="s">
        <v>18</v>
      </c>
      <c r="C16" t="s">
        <v>17</v>
      </c>
      <c r="D16" s="3">
        <v>31</v>
      </c>
      <c r="E16" s="3">
        <v>103</v>
      </c>
      <c r="F16" s="3">
        <v>15</v>
      </c>
      <c r="G16" s="3">
        <v>149</v>
      </c>
    </row>
    <row r="17" spans="2:7" x14ac:dyDescent="0.3">
      <c r="C17" t="s">
        <v>20</v>
      </c>
      <c r="D17" s="3">
        <v>143</v>
      </c>
      <c r="E17" s="3">
        <v>99</v>
      </c>
      <c r="F17" s="3">
        <v>7</v>
      </c>
      <c r="G17" s="3">
        <v>249</v>
      </c>
    </row>
    <row r="18" spans="2:7" x14ac:dyDescent="0.3">
      <c r="C18" t="s">
        <v>12</v>
      </c>
      <c r="D18" s="3"/>
      <c r="E18" s="3">
        <v>38</v>
      </c>
      <c r="F18" s="3">
        <v>49</v>
      </c>
      <c r="G18" s="3">
        <v>87</v>
      </c>
    </row>
    <row r="19" spans="2:7" x14ac:dyDescent="0.3">
      <c r="C19" t="s">
        <v>8</v>
      </c>
      <c r="D19" s="3">
        <v>138</v>
      </c>
      <c r="E19" s="3"/>
      <c r="F19" s="3">
        <v>88</v>
      </c>
      <c r="G19" s="3">
        <v>226</v>
      </c>
    </row>
    <row r="20" spans="2:7" x14ac:dyDescent="0.3">
      <c r="B20" t="s">
        <v>30</v>
      </c>
      <c r="D20" s="3">
        <v>312</v>
      </c>
      <c r="E20" s="3">
        <v>240</v>
      </c>
      <c r="F20" s="3">
        <v>159</v>
      </c>
      <c r="G20" s="3">
        <v>711</v>
      </c>
    </row>
    <row r="21" spans="2:7" x14ac:dyDescent="0.3">
      <c r="B21" t="s">
        <v>16</v>
      </c>
      <c r="C21" t="s">
        <v>17</v>
      </c>
      <c r="D21" s="3">
        <v>101</v>
      </c>
      <c r="E21" s="3">
        <v>53</v>
      </c>
      <c r="F21" s="3">
        <v>29</v>
      </c>
      <c r="G21" s="3">
        <v>183</v>
      </c>
    </row>
    <row r="22" spans="2:7" x14ac:dyDescent="0.3">
      <c r="C22" t="s">
        <v>20</v>
      </c>
      <c r="D22" s="3">
        <v>85</v>
      </c>
      <c r="E22" s="3"/>
      <c r="F22" s="3"/>
      <c r="G22" s="3">
        <v>85</v>
      </c>
    </row>
    <row r="23" spans="2:7" x14ac:dyDescent="0.3">
      <c r="C23" t="s">
        <v>12</v>
      </c>
      <c r="D23" s="3">
        <v>57</v>
      </c>
      <c r="E23" s="3">
        <v>190</v>
      </c>
      <c r="F23" s="3">
        <v>55</v>
      </c>
      <c r="G23" s="3">
        <v>302</v>
      </c>
    </row>
    <row r="24" spans="2:7" x14ac:dyDescent="0.3">
      <c r="C24" t="s">
        <v>8</v>
      </c>
      <c r="D24" s="3">
        <v>79</v>
      </c>
      <c r="E24" s="3">
        <v>7</v>
      </c>
      <c r="F24" s="3">
        <v>20</v>
      </c>
      <c r="G24" s="3">
        <v>106</v>
      </c>
    </row>
    <row r="25" spans="2:7" x14ac:dyDescent="0.3">
      <c r="B25" t="s">
        <v>31</v>
      </c>
      <c r="D25" s="3">
        <v>322</v>
      </c>
      <c r="E25" s="3">
        <v>250</v>
      </c>
      <c r="F25" s="3">
        <v>104</v>
      </c>
      <c r="G25" s="3">
        <v>676</v>
      </c>
    </row>
    <row r="26" spans="2:7" x14ac:dyDescent="0.3">
      <c r="B26" t="s">
        <v>22</v>
      </c>
      <c r="D26" s="3">
        <v>985</v>
      </c>
      <c r="E26" s="3">
        <v>786</v>
      </c>
      <c r="F26" s="3">
        <v>464</v>
      </c>
      <c r="G26" s="3">
        <v>2235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EE0F-9F9E-4CBC-A354-82B8AFE940A4}">
  <dimension ref="B4:F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6" x14ac:dyDescent="0.3">
      <c r="B4" s="1" t="s">
        <v>21</v>
      </c>
      <c r="C4" t="s">
        <v>23</v>
      </c>
      <c r="F4" t="e">
        <f>GETPIVOTDATA("Sum of Units",$B$4)</f>
        <v>#REF!</v>
      </c>
    </row>
    <row r="5" spans="2:6" x14ac:dyDescent="0.3">
      <c r="B5" s="2" t="s">
        <v>7</v>
      </c>
      <c r="C5" s="3">
        <v>455</v>
      </c>
      <c r="F5">
        <f>GETPIVOTDATA("Sum of Units",$B$4,"Region","East")</f>
        <v>455</v>
      </c>
    </row>
    <row r="6" spans="2:6" x14ac:dyDescent="0.3">
      <c r="B6" s="4" t="s">
        <v>17</v>
      </c>
      <c r="C6" s="3">
        <v>85</v>
      </c>
      <c r="F6">
        <f>GETPIVOTDATA("Sum of Units",$B$4,"Region","East","Product","Apple")</f>
        <v>85</v>
      </c>
    </row>
    <row r="7" spans="2:6" x14ac:dyDescent="0.3">
      <c r="B7" s="4" t="s">
        <v>20</v>
      </c>
      <c r="C7" s="3">
        <v>151</v>
      </c>
    </row>
    <row r="8" spans="2:6" x14ac:dyDescent="0.3">
      <c r="B8" s="4" t="s">
        <v>12</v>
      </c>
      <c r="C8" s="3">
        <v>102</v>
      </c>
    </row>
    <row r="9" spans="2:6" x14ac:dyDescent="0.3">
      <c r="B9" s="4" t="s">
        <v>8</v>
      </c>
      <c r="C9" s="3">
        <v>117</v>
      </c>
    </row>
    <row r="10" spans="2:6" x14ac:dyDescent="0.3">
      <c r="B10" s="2" t="s">
        <v>11</v>
      </c>
      <c r="C10" s="3">
        <v>393</v>
      </c>
    </row>
    <row r="11" spans="2:6" x14ac:dyDescent="0.3">
      <c r="B11" s="4" t="s">
        <v>17</v>
      </c>
      <c r="C11" s="3">
        <v>78</v>
      </c>
    </row>
    <row r="12" spans="2:6" x14ac:dyDescent="0.3">
      <c r="B12" s="4" t="s">
        <v>20</v>
      </c>
      <c r="C12" s="3">
        <v>126</v>
      </c>
    </row>
    <row r="13" spans="2:6" x14ac:dyDescent="0.3">
      <c r="B13" s="4" t="s">
        <v>12</v>
      </c>
      <c r="C13" s="3">
        <v>93</v>
      </c>
    </row>
    <row r="14" spans="2:6" x14ac:dyDescent="0.3">
      <c r="B14" s="4" t="s">
        <v>8</v>
      </c>
      <c r="C14" s="3">
        <v>96</v>
      </c>
    </row>
    <row r="15" spans="2:6" x14ac:dyDescent="0.3">
      <c r="B15" s="2" t="s">
        <v>18</v>
      </c>
      <c r="C15" s="3">
        <v>711</v>
      </c>
    </row>
    <row r="16" spans="2:6" x14ac:dyDescent="0.3">
      <c r="B16" s="4" t="s">
        <v>17</v>
      </c>
      <c r="C16" s="3">
        <v>149</v>
      </c>
    </row>
    <row r="17" spans="2:3" x14ac:dyDescent="0.3">
      <c r="B17" s="4" t="s">
        <v>20</v>
      </c>
      <c r="C17" s="3">
        <v>249</v>
      </c>
    </row>
    <row r="18" spans="2:3" x14ac:dyDescent="0.3">
      <c r="B18" s="4" t="s">
        <v>12</v>
      </c>
      <c r="C18" s="3">
        <v>87</v>
      </c>
    </row>
    <row r="19" spans="2:3" x14ac:dyDescent="0.3">
      <c r="B19" s="4" t="s">
        <v>8</v>
      </c>
      <c r="C19" s="3">
        <v>226</v>
      </c>
    </row>
    <row r="20" spans="2:3" x14ac:dyDescent="0.3">
      <c r="B20" s="2" t="s">
        <v>16</v>
      </c>
      <c r="C20" s="3">
        <v>676</v>
      </c>
    </row>
    <row r="21" spans="2:3" x14ac:dyDescent="0.3">
      <c r="B21" s="4" t="s">
        <v>17</v>
      </c>
      <c r="C21" s="3">
        <v>183</v>
      </c>
    </row>
    <row r="22" spans="2:3" x14ac:dyDescent="0.3">
      <c r="B22" s="4" t="s">
        <v>20</v>
      </c>
      <c r="C22" s="3">
        <v>85</v>
      </c>
    </row>
    <row r="23" spans="2:3" x14ac:dyDescent="0.3">
      <c r="B23" s="4" t="s">
        <v>12</v>
      </c>
      <c r="C23" s="3">
        <v>302</v>
      </c>
    </row>
    <row r="24" spans="2:3" x14ac:dyDescent="0.3">
      <c r="B24" s="4" t="s">
        <v>8</v>
      </c>
      <c r="C24" s="3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439F-8473-4BD5-BB60-437B33A95F9A}">
  <dimension ref="B4:F2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6" x14ac:dyDescent="0.3">
      <c r="B4" s="1" t="s">
        <v>21</v>
      </c>
      <c r="C4" t="s">
        <v>23</v>
      </c>
      <c r="F4">
        <f>GETPIVOTDATA("Sum of Units",$B$4,"Tier","Gold")</f>
        <v>708</v>
      </c>
    </row>
    <row r="5" spans="2:6" x14ac:dyDescent="0.3">
      <c r="B5" s="2" t="s">
        <v>10</v>
      </c>
      <c r="C5" s="3">
        <v>1025</v>
      </c>
      <c r="F5">
        <f>GETPIVOTDATA("Sum of Units",$B$4,"Tier","Gold","Region","East")</f>
        <v>76</v>
      </c>
    </row>
    <row r="6" spans="2:6" x14ac:dyDescent="0.3">
      <c r="B6" s="4" t="s">
        <v>7</v>
      </c>
      <c r="C6" s="3">
        <v>234</v>
      </c>
      <c r="F6" t="e">
        <f>GETPIVOTDATA("Sum of Units",$B$4,"Tier",5)</f>
        <v>#REF!</v>
      </c>
    </row>
    <row r="7" spans="2:6" x14ac:dyDescent="0.3">
      <c r="B7" s="4" t="s">
        <v>11</v>
      </c>
      <c r="C7" s="3">
        <v>169</v>
      </c>
    </row>
    <row r="8" spans="2:6" x14ac:dyDescent="0.3">
      <c r="B8" s="4" t="s">
        <v>18</v>
      </c>
      <c r="C8" s="3">
        <v>347</v>
      </c>
    </row>
    <row r="9" spans="2:6" x14ac:dyDescent="0.3">
      <c r="B9" s="4" t="s">
        <v>16</v>
      </c>
      <c r="C9" s="3">
        <v>275</v>
      </c>
    </row>
    <row r="10" spans="2:6" x14ac:dyDescent="0.3">
      <c r="B10" s="2" t="s">
        <v>15</v>
      </c>
      <c r="C10" s="3">
        <v>708</v>
      </c>
    </row>
    <row r="11" spans="2:6" x14ac:dyDescent="0.3">
      <c r="B11" s="4" t="s">
        <v>7</v>
      </c>
      <c r="C11" s="3">
        <v>76</v>
      </c>
    </row>
    <row r="12" spans="2:6" x14ac:dyDescent="0.3">
      <c r="B12" s="4" t="s">
        <v>11</v>
      </c>
      <c r="C12" s="3">
        <v>134</v>
      </c>
    </row>
    <row r="13" spans="2:6" x14ac:dyDescent="0.3">
      <c r="B13" s="4" t="s">
        <v>18</v>
      </c>
      <c r="C13" s="3">
        <v>236</v>
      </c>
    </row>
    <row r="14" spans="2:6" x14ac:dyDescent="0.3">
      <c r="B14" s="4" t="s">
        <v>16</v>
      </c>
      <c r="C14" s="3">
        <v>262</v>
      </c>
    </row>
    <row r="15" spans="2:6" x14ac:dyDescent="0.3">
      <c r="B15" s="2" t="s">
        <v>14</v>
      </c>
      <c r="C15" s="3">
        <v>502</v>
      </c>
    </row>
    <row r="16" spans="2:6" x14ac:dyDescent="0.3">
      <c r="B16" s="4" t="s">
        <v>7</v>
      </c>
      <c r="C16" s="3">
        <v>145</v>
      </c>
    </row>
    <row r="17" spans="2:3" x14ac:dyDescent="0.3">
      <c r="B17" s="4" t="s">
        <v>11</v>
      </c>
      <c r="C17" s="3">
        <v>90</v>
      </c>
    </row>
    <row r="18" spans="2:3" x14ac:dyDescent="0.3">
      <c r="B18" s="4" t="s">
        <v>18</v>
      </c>
      <c r="C18" s="3">
        <v>128</v>
      </c>
    </row>
    <row r="19" spans="2:3" x14ac:dyDescent="0.3">
      <c r="B19" s="4" t="s">
        <v>16</v>
      </c>
      <c r="C19" s="3">
        <v>139</v>
      </c>
    </row>
    <row r="20" spans="2:3" x14ac:dyDescent="0.3">
      <c r="B20" s="2" t="s">
        <v>22</v>
      </c>
      <c r="C20" s="3">
        <v>2235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288F-EF2C-4DFC-8B2C-B6ED2CC6876E}">
  <dimension ref="B4:G9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  <col min="4" max="4" width="14.21875" bestFit="1" customWidth="1"/>
  </cols>
  <sheetData>
    <row r="4" spans="2:7" x14ac:dyDescent="0.3">
      <c r="B4" s="1" t="s">
        <v>21</v>
      </c>
      <c r="C4" t="s">
        <v>23</v>
      </c>
      <c r="D4" t="s">
        <v>32</v>
      </c>
      <c r="G4">
        <f>GETPIVOTDATA("Sum of Units",$B$4,"Region","East")</f>
        <v>455</v>
      </c>
    </row>
    <row r="5" spans="2:7" x14ac:dyDescent="0.3">
      <c r="B5" s="2" t="s">
        <v>7</v>
      </c>
      <c r="C5" s="3">
        <v>455</v>
      </c>
      <c r="D5" s="3">
        <v>20</v>
      </c>
      <c r="G5">
        <f>GETPIVOTDATA("Average of Price",$B$4,"Region","East")</f>
        <v>20</v>
      </c>
    </row>
    <row r="6" spans="2:7" x14ac:dyDescent="0.3">
      <c r="B6" s="2" t="s">
        <v>11</v>
      </c>
      <c r="C6" s="3">
        <v>393</v>
      </c>
      <c r="D6" s="3">
        <v>21.166666666666668</v>
      </c>
      <c r="G6">
        <f>GETPIVOTDATA("Average of Price",$B$4)</f>
        <v>21.31111111111111</v>
      </c>
    </row>
    <row r="7" spans="2:7" x14ac:dyDescent="0.3">
      <c r="B7" s="2" t="s">
        <v>18</v>
      </c>
      <c r="C7" s="3">
        <v>711</v>
      </c>
      <c r="D7" s="3">
        <v>23.307692307692307</v>
      </c>
      <c r="G7">
        <f>GETPIVOTDATA("Units",$B$4)</f>
        <v>2235</v>
      </c>
    </row>
    <row r="8" spans="2:7" x14ac:dyDescent="0.3">
      <c r="B8" s="2" t="s">
        <v>16</v>
      </c>
      <c r="C8" s="3">
        <v>676</v>
      </c>
      <c r="D8" s="3">
        <v>20.392857142857142</v>
      </c>
      <c r="G8">
        <f>GETPIVOTDATA("Price",$B$4)</f>
        <v>21.31111111111111</v>
      </c>
    </row>
    <row r="9" spans="2:7" x14ac:dyDescent="0.3">
      <c r="B9" s="2" t="s">
        <v>22</v>
      </c>
      <c r="C9" s="3">
        <v>2235</v>
      </c>
      <c r="D9" s="3">
        <v>21.31111111111111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P1</vt:lpstr>
      <vt:lpstr>P2</vt:lpstr>
      <vt:lpstr>P3</vt:lpstr>
      <vt:lpstr>P4</vt:lpstr>
      <vt:lpstr>P5</vt:lpstr>
      <vt:lpstr>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2026-10-11T13:51:13Z</dcterms:created>
  <dcterms:modified xsi:type="dcterms:W3CDTF">2026-10-11T13:51:24Z</dcterms:modified>
</cp:coreProperties>
</file>