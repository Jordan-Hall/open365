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907C9708-F580-4CBD-B34B-754731EE80DC}" xr6:coauthVersionLast="47" xr6:coauthVersionMax="47" xr10:uidLastSave="{00000000-0000-0000-0000-000000000000}"/>
  <bookViews>
    <workbookView xWindow="3072" yWindow="3072" windowWidth="17280" windowHeight="9960" xr2:uid="{0B014A0D-A797-421F-AC7D-62DB81D316EB}"/>
  </bookViews>
  <sheets>
    <sheet name="Data" sheetId="1" r:id="rId1"/>
    <sheet name="P1" sheetId="2" r:id="rId2"/>
    <sheet name="P2" sheetId="3" r:id="rId3"/>
    <sheet name="P3" sheetId="4" r:id="rId4"/>
    <sheet name="P4" sheetId="5" r:id="rId5"/>
    <sheet name="P5" sheetId="6" r:id="rId6"/>
    <sheet name="P6" sheetId="7" r:id="rId7"/>
    <sheet name="P7" sheetId="8" r:id="rId8"/>
    <sheet name="P8" sheetId="9" r:id="rId9"/>
    <sheet name="P9" sheetId="10" r:id="rId10"/>
    <sheet name="P10" sheetId="11" r:id="rId11"/>
    <sheet name="P11" sheetId="12" r:id="rId12"/>
    <sheet name="P12" sheetId="13" r:id="rId13"/>
    <sheet name="P13" sheetId="14" r:id="rId14"/>
    <sheet name="P14" sheetId="15" r:id="rId15"/>
  </sheets>
  <calcPr calcId="191029"/>
  <pivotCaches>
    <pivotCache cacheId="196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<sst xmlns="http://schemas.openxmlformats.org/spreadsheetml/2006/main" count="876" uniqueCount="69">
  <si>
    <t>Region</t>
  </si>
  <si>
    <t>Product</t>
  </si>
  <si>
    <t>Channel</t>
  </si>
  <si>
    <t>Date</t>
  </si>
  <si>
    <t>Units</t>
  </si>
  <si>
    <t>Price</t>
  </si>
  <si>
    <t>Revenue</t>
  </si>
  <si>
    <t>Score</t>
  </si>
  <si>
    <t>Tier</t>
  </si>
  <si>
    <t>Size</t>
  </si>
  <si>
    <t>South</t>
  </si>
  <si>
    <t>Online</t>
  </si>
  <si>
    <t>Silver</t>
  </si>
  <si>
    <t>S</t>
  </si>
  <si>
    <t>North</t>
  </si>
  <si>
    <t>Retail</t>
  </si>
  <si>
    <t>Walnut</t>
  </si>
  <si>
    <t>Bronze</t>
  </si>
  <si>
    <t>L</t>
  </si>
  <si>
    <t>Banana</t>
  </si>
  <si>
    <t>Gold</t>
  </si>
  <si>
    <t>apple</t>
  </si>
  <si>
    <t>Partner</t>
  </si>
  <si>
    <t>West</t>
  </si>
  <si>
    <t>Cherry</t>
  </si>
  <si>
    <t>East</t>
  </si>
  <si>
    <t>Fig</t>
  </si>
  <si>
    <t>Row Labels</t>
  </si>
  <si>
    <t>Grand Total</t>
  </si>
  <si>
    <t>(All)</t>
  </si>
  <si>
    <t>Var of Price</t>
  </si>
  <si>
    <t>Count Numbers of Units</t>
  </si>
  <si>
    <t>Online Total</t>
  </si>
  <si>
    <t>Partner Total</t>
  </si>
  <si>
    <t>Retail Total</t>
  </si>
  <si>
    <t>StdDev of Units</t>
  </si>
  <si>
    <t>StdDev of Revenue</t>
  </si>
  <si>
    <t>Column Labels</t>
  </si>
  <si>
    <t>(blank)</t>
  </si>
  <si>
    <t>Varp of Score</t>
  </si>
  <si>
    <t>Values</t>
  </si>
  <si>
    <t>Max of Score</t>
  </si>
  <si>
    <t>Average of Price</t>
  </si>
  <si>
    <t>Total Average of Price</t>
  </si>
  <si>
    <t>Total Varp of Score</t>
  </si>
  <si>
    <t>Total Var of Revenue</t>
  </si>
  <si>
    <t>Var of Revenue</t>
  </si>
  <si>
    <t>StdDevp of Score</t>
  </si>
  <si>
    <t>StdDev of Price</t>
  </si>
  <si>
    <t>Product of Price</t>
  </si>
  <si>
    <t>Online Product of Price</t>
  </si>
  <si>
    <t>Online Min of Units</t>
  </si>
  <si>
    <t>Partner Product of Price</t>
  </si>
  <si>
    <t>Partner Min of Units</t>
  </si>
  <si>
    <t>Retail Product of Price</t>
  </si>
  <si>
    <t>Retail Min of Units</t>
  </si>
  <si>
    <t>Total Product of Price</t>
  </si>
  <si>
    <t>Total Min of Units</t>
  </si>
  <si>
    <t>Min of Units</t>
  </si>
  <si>
    <t>Varp of Revenue</t>
  </si>
  <si>
    <t>Count of Score</t>
  </si>
  <si>
    <t>Varp of Units</t>
  </si>
  <si>
    <t>Count of Price</t>
  </si>
  <si>
    <t>L Total</t>
  </si>
  <si>
    <t>S Total</t>
  </si>
  <si>
    <t>Average of Units</t>
  </si>
  <si>
    <t>Total Average of Units</t>
  </si>
  <si>
    <t>Total Sum of Score</t>
  </si>
  <si>
    <t>Sum of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</si>
</sst>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39608726852" createdVersion="8" refreshedVersion="8" minRefreshableVersion="3" recordCount="90" xr:uid="{E890F7A2-06D9-4004-BFB0-D21365974183}">
  <cacheSource type="worksheet">
    <worksheetSource ref="A1:J91" sheet="Data"/>
  </cacheSource>
  <cacheFields count="10">
    <cacheField name="Region" numFmtId="0">
      <sharedItems containsBlank="1" count="5">
        <s v="South"/>
        <s v="North"/>
        <s v="West"/>
        <m/>
        <s v="East"/>
      </sharedItems>
    </cacheField>
    <cacheField name="Product" numFmtId="0">
      <sharedItems count="6">
        <s v="Date"/>
        <s v="Walnut"/>
        <s v="Banana"/>
        <s v="apple"/>
        <s v="Cherry"/>
        <s v="Fig"/>
      </sharedItems>
    </cacheField>
    <cacheField name="Channel" numFmtId="0">
      <sharedItems count="3">
        <s v="Online"/>
        <s v="Retail"/>
        <s v="Partner"/>
      </sharedItems>
    </cacheField>
    <cacheField name="Date" numFmtId="14">
      <sharedItems containsSemiMixedTypes="0" containsNonDate="0" containsDate="1" containsString="0" minDate="2024-01-16T00:00:00" maxDate="2025-12-27T00:00:00"/>
    </cacheField>
    <cacheField name="Units" numFmtId="0">
      <sharedItems containsString="0" containsBlank="1" containsNumber="1" containsInteger="1" minValue="1" maxValue="50"/>
    </cacheField>
    <cacheField name="Price" numFmtId="2">
      <sharedItems containsSemiMixedTypes="0" containsString="0" containsNumber="1" minValue="1.67" maxValue="95.32"/>
    </cacheField>
    <cacheField name="Revenue" numFmtId="4">
      <sharedItems containsString="0" containsBlank="1" containsNumber="1" minValue="15.16" maxValue="4670.68"/>
    </cacheField>
    <cacheField name="Score" numFmtId="0">
      <sharedItems containsSemiMixedTypes="0" containsString="0" containsNumber="1" containsInteger="1" minValue="0" maxValue="100"/>
    </cacheField>
    <cacheField name="Tier" numFmtId="0">
      <sharedItems count="3">
        <s v="Silver"/>
        <s v="Bronze"/>
        <s v="Gold"/>
      </sharedItems>
    </cacheField>
    <cacheField name="Size" numFmtId="0">
      <sharedItems count="2">
        <s v="S"/>
        <s v="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x v="0"/>
    <d v="2024-06-24T00:00:00"/>
    <n v="4"/>
    <n v="87.62"/>
    <n v="350.48"/>
    <n v="62"/>
    <x v="0"/>
    <x v="0"/>
  </r>
  <r>
    <x v="1"/>
    <x v="0"/>
    <x v="1"/>
    <d v="2024-06-13T00:00:00"/>
    <n v="15"/>
    <n v="12.02"/>
    <n v="180.3"/>
    <n v="26"/>
    <x v="0"/>
    <x v="0"/>
  </r>
  <r>
    <x v="0"/>
    <x v="1"/>
    <x v="1"/>
    <d v="2024-09-14T00:00:00"/>
    <n v="19"/>
    <n v="35.9"/>
    <n v="682.1"/>
    <n v="61"/>
    <x v="1"/>
    <x v="1"/>
  </r>
  <r>
    <x v="0"/>
    <x v="2"/>
    <x v="1"/>
    <d v="2024-10-19T00:00:00"/>
    <m/>
    <n v="53.72"/>
    <m/>
    <n v="94"/>
    <x v="2"/>
    <x v="0"/>
  </r>
  <r>
    <x v="1"/>
    <x v="3"/>
    <x v="2"/>
    <d v="2024-12-12T00:00:00"/>
    <n v="10"/>
    <n v="23.96"/>
    <n v="239.6"/>
    <n v="98"/>
    <x v="1"/>
    <x v="0"/>
  </r>
  <r>
    <x v="2"/>
    <x v="4"/>
    <x v="0"/>
    <d v="2025-11-21T00:00:00"/>
    <n v="18"/>
    <n v="21.31"/>
    <n v="383.58"/>
    <n v="5"/>
    <x v="2"/>
    <x v="1"/>
  </r>
  <r>
    <x v="3"/>
    <x v="0"/>
    <x v="2"/>
    <d v="2024-09-18T00:00:00"/>
    <n v="1"/>
    <n v="67.72"/>
    <n v="67.72"/>
    <n v="39"/>
    <x v="1"/>
    <x v="0"/>
  </r>
  <r>
    <x v="4"/>
    <x v="5"/>
    <x v="2"/>
    <d v="2024-08-29T00:00:00"/>
    <n v="2"/>
    <n v="26.26"/>
    <n v="52.52"/>
    <n v="0"/>
    <x v="2"/>
    <x v="1"/>
  </r>
  <r>
    <x v="0"/>
    <x v="0"/>
    <x v="1"/>
    <d v="2025-07-18T00:00:00"/>
    <n v="42"/>
    <n v="14.38"/>
    <n v="603.96"/>
    <n v="77"/>
    <x v="2"/>
    <x v="1"/>
  </r>
  <r>
    <x v="2"/>
    <x v="2"/>
    <x v="0"/>
    <d v="2024-03-09T00:00:00"/>
    <n v="7"/>
    <n v="53.17"/>
    <n v="372.19"/>
    <n v="92"/>
    <x v="1"/>
    <x v="1"/>
  </r>
  <r>
    <x v="2"/>
    <x v="0"/>
    <x v="1"/>
    <d v="2024-07-10T00:00:00"/>
    <n v="17"/>
    <n v="3.65"/>
    <n v="62.05"/>
    <n v="60"/>
    <x v="1"/>
    <x v="1"/>
  </r>
  <r>
    <x v="0"/>
    <x v="0"/>
    <x v="1"/>
    <d v="2024-07-25T00:00:00"/>
    <n v="3"/>
    <n v="61.02"/>
    <n v="183.06"/>
    <n v="54"/>
    <x v="1"/>
    <x v="1"/>
  </r>
  <r>
    <x v="0"/>
    <x v="1"/>
    <x v="1"/>
    <d v="2024-09-20T00:00:00"/>
    <n v="43"/>
    <n v="28.09"/>
    <n v="1207.8699999999999"/>
    <n v="1"/>
    <x v="2"/>
    <x v="1"/>
  </r>
  <r>
    <x v="0"/>
    <x v="2"/>
    <x v="2"/>
    <d v="2025-09-14T00:00:00"/>
    <n v="20"/>
    <n v="28.4"/>
    <n v="568"/>
    <n v="60"/>
    <x v="2"/>
    <x v="1"/>
  </r>
  <r>
    <x v="3"/>
    <x v="1"/>
    <x v="2"/>
    <d v="2025-06-20T00:00:00"/>
    <n v="16"/>
    <n v="82.29"/>
    <n v="1316.64"/>
    <n v="31"/>
    <x v="0"/>
    <x v="0"/>
  </r>
  <r>
    <x v="4"/>
    <x v="2"/>
    <x v="0"/>
    <d v="2025-12-26T00:00:00"/>
    <n v="3"/>
    <n v="87.37"/>
    <n v="262.11"/>
    <n v="17"/>
    <x v="2"/>
    <x v="1"/>
  </r>
  <r>
    <x v="0"/>
    <x v="5"/>
    <x v="1"/>
    <d v="2025-05-08T00:00:00"/>
    <n v="13"/>
    <n v="60.27"/>
    <n v="783.51"/>
    <n v="48"/>
    <x v="1"/>
    <x v="1"/>
  </r>
  <r>
    <x v="3"/>
    <x v="5"/>
    <x v="2"/>
    <d v="2024-12-18T00:00:00"/>
    <n v="6"/>
    <n v="65.88"/>
    <n v="395.28"/>
    <n v="83"/>
    <x v="0"/>
    <x v="0"/>
  </r>
  <r>
    <x v="4"/>
    <x v="3"/>
    <x v="1"/>
    <d v="2024-09-29T00:00:00"/>
    <n v="27"/>
    <n v="22.34"/>
    <n v="603.17999999999995"/>
    <n v="60"/>
    <x v="0"/>
    <x v="0"/>
  </r>
  <r>
    <x v="2"/>
    <x v="3"/>
    <x v="1"/>
    <d v="2025-11-12T00:00:00"/>
    <n v="47"/>
    <n v="12.74"/>
    <n v="598.78"/>
    <n v="54"/>
    <x v="2"/>
    <x v="0"/>
  </r>
  <r>
    <x v="0"/>
    <x v="4"/>
    <x v="1"/>
    <d v="2024-06-03T00:00:00"/>
    <n v="3"/>
    <n v="57.45"/>
    <n v="172.35"/>
    <n v="92"/>
    <x v="2"/>
    <x v="0"/>
  </r>
  <r>
    <x v="4"/>
    <x v="2"/>
    <x v="0"/>
    <d v="2024-05-13T00:00:00"/>
    <n v="7"/>
    <n v="8.5399999999999991"/>
    <n v="59.78"/>
    <n v="1"/>
    <x v="2"/>
    <x v="0"/>
  </r>
  <r>
    <x v="4"/>
    <x v="0"/>
    <x v="1"/>
    <d v="2024-07-13T00:00:00"/>
    <n v="33"/>
    <n v="64.010000000000005"/>
    <n v="2112.33"/>
    <n v="78"/>
    <x v="2"/>
    <x v="0"/>
  </r>
  <r>
    <x v="2"/>
    <x v="1"/>
    <x v="0"/>
    <d v="2025-04-23T00:00:00"/>
    <n v="15"/>
    <n v="91.88"/>
    <n v="1378.2"/>
    <n v="78"/>
    <x v="2"/>
    <x v="0"/>
  </r>
  <r>
    <x v="4"/>
    <x v="5"/>
    <x v="2"/>
    <d v="2025-05-04T00:00:00"/>
    <n v="22"/>
    <n v="61.32"/>
    <n v="1349.04"/>
    <n v="54"/>
    <x v="2"/>
    <x v="0"/>
  </r>
  <r>
    <x v="3"/>
    <x v="4"/>
    <x v="1"/>
    <d v="2025-10-11T00:00:00"/>
    <n v="30"/>
    <n v="89.39"/>
    <n v="2681.7"/>
    <n v="76"/>
    <x v="2"/>
    <x v="0"/>
  </r>
  <r>
    <x v="2"/>
    <x v="4"/>
    <x v="0"/>
    <d v="2025-04-09T00:00:00"/>
    <n v="2"/>
    <n v="17.2"/>
    <n v="34.4"/>
    <n v="34"/>
    <x v="1"/>
    <x v="1"/>
  </r>
  <r>
    <x v="0"/>
    <x v="5"/>
    <x v="2"/>
    <d v="2025-06-19T00:00:00"/>
    <n v="43"/>
    <n v="8.65"/>
    <n v="371.95"/>
    <n v="0"/>
    <x v="0"/>
    <x v="1"/>
  </r>
  <r>
    <x v="2"/>
    <x v="5"/>
    <x v="0"/>
    <d v="2025-08-20T00:00:00"/>
    <n v="2"/>
    <n v="75.94"/>
    <n v="151.88"/>
    <n v="0"/>
    <x v="1"/>
    <x v="0"/>
  </r>
  <r>
    <x v="2"/>
    <x v="1"/>
    <x v="1"/>
    <d v="2025-06-18T00:00:00"/>
    <n v="4"/>
    <n v="40.89"/>
    <n v="163.56"/>
    <n v="43"/>
    <x v="0"/>
    <x v="0"/>
  </r>
  <r>
    <x v="2"/>
    <x v="2"/>
    <x v="1"/>
    <d v="2025-08-30T00:00:00"/>
    <n v="44"/>
    <n v="23"/>
    <n v="1012"/>
    <n v="24"/>
    <x v="0"/>
    <x v="1"/>
  </r>
  <r>
    <x v="1"/>
    <x v="3"/>
    <x v="0"/>
    <d v="2025-10-19T00:00:00"/>
    <n v="23"/>
    <n v="68.31"/>
    <n v="1571.13"/>
    <n v="75"/>
    <x v="1"/>
    <x v="0"/>
  </r>
  <r>
    <x v="0"/>
    <x v="0"/>
    <x v="1"/>
    <d v="2024-11-06T00:00:00"/>
    <n v="40"/>
    <n v="30.61"/>
    <n v="1224.4000000000001"/>
    <n v="28"/>
    <x v="2"/>
    <x v="1"/>
  </r>
  <r>
    <x v="0"/>
    <x v="5"/>
    <x v="0"/>
    <d v="2025-08-26T00:00:00"/>
    <n v="26"/>
    <n v="82.11"/>
    <n v="2134.86"/>
    <n v="99"/>
    <x v="2"/>
    <x v="0"/>
  </r>
  <r>
    <x v="0"/>
    <x v="1"/>
    <x v="0"/>
    <d v="2024-02-22T00:00:00"/>
    <n v="17"/>
    <n v="52.58"/>
    <n v="893.86"/>
    <n v="9"/>
    <x v="2"/>
    <x v="0"/>
  </r>
  <r>
    <x v="1"/>
    <x v="2"/>
    <x v="0"/>
    <d v="2024-08-08T00:00:00"/>
    <n v="24"/>
    <n v="23.12"/>
    <n v="554.88"/>
    <n v="45"/>
    <x v="0"/>
    <x v="0"/>
  </r>
  <r>
    <x v="0"/>
    <x v="2"/>
    <x v="0"/>
    <d v="2024-02-08T00:00:00"/>
    <n v="18"/>
    <n v="36.4"/>
    <n v="655.20000000000005"/>
    <n v="46"/>
    <x v="1"/>
    <x v="0"/>
  </r>
  <r>
    <x v="4"/>
    <x v="3"/>
    <x v="0"/>
    <d v="2025-05-12T00:00:00"/>
    <n v="18"/>
    <n v="7.48"/>
    <n v="134.63999999999999"/>
    <n v="89"/>
    <x v="2"/>
    <x v="1"/>
  </r>
  <r>
    <x v="3"/>
    <x v="4"/>
    <x v="1"/>
    <d v="2025-04-10T00:00:00"/>
    <n v="26"/>
    <n v="16.510000000000002"/>
    <n v="429.26"/>
    <n v="96"/>
    <x v="0"/>
    <x v="0"/>
  </r>
  <r>
    <x v="1"/>
    <x v="5"/>
    <x v="2"/>
    <d v="2025-10-30T00:00:00"/>
    <n v="42"/>
    <n v="53.03"/>
    <n v="2227.2600000000002"/>
    <n v="33"/>
    <x v="0"/>
    <x v="0"/>
  </r>
  <r>
    <x v="2"/>
    <x v="1"/>
    <x v="0"/>
    <d v="2025-04-20T00:00:00"/>
    <n v="30"/>
    <n v="31.55"/>
    <n v="946.5"/>
    <n v="9"/>
    <x v="1"/>
    <x v="1"/>
  </r>
  <r>
    <x v="0"/>
    <x v="3"/>
    <x v="2"/>
    <d v="2024-03-06T00:00:00"/>
    <n v="18"/>
    <n v="68.28"/>
    <n v="1229.04"/>
    <n v="54"/>
    <x v="2"/>
    <x v="0"/>
  </r>
  <r>
    <x v="0"/>
    <x v="2"/>
    <x v="2"/>
    <d v="2024-05-03T00:00:00"/>
    <n v="32"/>
    <n v="11.39"/>
    <n v="364.48"/>
    <n v="75"/>
    <x v="1"/>
    <x v="0"/>
  </r>
  <r>
    <x v="1"/>
    <x v="5"/>
    <x v="2"/>
    <d v="2025-03-04T00:00:00"/>
    <n v="20"/>
    <n v="4.3499999999999996"/>
    <n v="87"/>
    <n v="26"/>
    <x v="2"/>
    <x v="0"/>
  </r>
  <r>
    <x v="2"/>
    <x v="5"/>
    <x v="2"/>
    <d v="2024-11-18T00:00:00"/>
    <n v="3"/>
    <n v="17.38"/>
    <n v="52.14"/>
    <n v="37"/>
    <x v="0"/>
    <x v="0"/>
  </r>
  <r>
    <x v="4"/>
    <x v="5"/>
    <x v="0"/>
    <d v="2025-01-12T00:00:00"/>
    <n v="49"/>
    <n v="95.32"/>
    <n v="4670.68"/>
    <n v="94"/>
    <x v="2"/>
    <x v="0"/>
  </r>
  <r>
    <x v="2"/>
    <x v="5"/>
    <x v="2"/>
    <d v="2025-04-30T00:00:00"/>
    <n v="2"/>
    <n v="12.52"/>
    <n v="25.04"/>
    <n v="54"/>
    <x v="2"/>
    <x v="0"/>
  </r>
  <r>
    <x v="4"/>
    <x v="4"/>
    <x v="1"/>
    <d v="2024-06-26T00:00:00"/>
    <n v="17"/>
    <n v="52.85"/>
    <n v="898.45"/>
    <n v="10"/>
    <x v="1"/>
    <x v="0"/>
  </r>
  <r>
    <x v="0"/>
    <x v="5"/>
    <x v="0"/>
    <d v="2024-12-24T00:00:00"/>
    <n v="43"/>
    <n v="24.7"/>
    <n v="1062.0999999999999"/>
    <n v="75"/>
    <x v="0"/>
    <x v="1"/>
  </r>
  <r>
    <x v="0"/>
    <x v="1"/>
    <x v="1"/>
    <d v="2024-03-24T00:00:00"/>
    <n v="47"/>
    <n v="8.41"/>
    <n v="395.27"/>
    <n v="29"/>
    <x v="1"/>
    <x v="1"/>
  </r>
  <r>
    <x v="1"/>
    <x v="5"/>
    <x v="0"/>
    <d v="2024-03-12T00:00:00"/>
    <n v="36"/>
    <n v="38.69"/>
    <n v="1392.84"/>
    <n v="36"/>
    <x v="1"/>
    <x v="1"/>
  </r>
  <r>
    <x v="2"/>
    <x v="1"/>
    <x v="1"/>
    <d v="2025-10-24T00:00:00"/>
    <n v="45"/>
    <n v="27.89"/>
    <n v="1255.05"/>
    <n v="66"/>
    <x v="2"/>
    <x v="1"/>
  </r>
  <r>
    <x v="2"/>
    <x v="3"/>
    <x v="0"/>
    <d v="2024-10-05T00:00:00"/>
    <n v="37"/>
    <n v="86.66"/>
    <n v="3206.42"/>
    <n v="98"/>
    <x v="2"/>
    <x v="1"/>
  </r>
  <r>
    <x v="2"/>
    <x v="4"/>
    <x v="2"/>
    <d v="2025-06-23T00:00:00"/>
    <n v="22"/>
    <n v="52.07"/>
    <n v="1145.54"/>
    <n v="55"/>
    <x v="2"/>
    <x v="1"/>
  </r>
  <r>
    <x v="2"/>
    <x v="4"/>
    <x v="1"/>
    <d v="2024-01-16T00:00:00"/>
    <n v="20"/>
    <n v="36.229999999999997"/>
    <n v="724.6"/>
    <n v="15"/>
    <x v="2"/>
    <x v="0"/>
  </r>
  <r>
    <x v="0"/>
    <x v="3"/>
    <x v="0"/>
    <d v="2024-05-04T00:00:00"/>
    <n v="47"/>
    <n v="61.88"/>
    <n v="2908.36"/>
    <n v="87"/>
    <x v="2"/>
    <x v="0"/>
  </r>
  <r>
    <x v="2"/>
    <x v="0"/>
    <x v="1"/>
    <d v="2025-02-24T00:00:00"/>
    <n v="34"/>
    <n v="7.38"/>
    <n v="250.92"/>
    <n v="73"/>
    <x v="2"/>
    <x v="0"/>
  </r>
  <r>
    <x v="4"/>
    <x v="5"/>
    <x v="1"/>
    <d v="2024-06-19T00:00:00"/>
    <n v="36"/>
    <n v="21.17"/>
    <n v="762.12"/>
    <n v="21"/>
    <x v="1"/>
    <x v="0"/>
  </r>
  <r>
    <x v="4"/>
    <x v="5"/>
    <x v="0"/>
    <d v="2024-12-06T00:00:00"/>
    <n v="16"/>
    <n v="9.25"/>
    <n v="148"/>
    <n v="18"/>
    <x v="1"/>
    <x v="0"/>
  </r>
  <r>
    <x v="0"/>
    <x v="1"/>
    <x v="0"/>
    <d v="2024-09-17T00:00:00"/>
    <n v="32"/>
    <n v="61.16"/>
    <n v="1957.12"/>
    <n v="33"/>
    <x v="0"/>
    <x v="0"/>
  </r>
  <r>
    <x v="1"/>
    <x v="3"/>
    <x v="0"/>
    <d v="2025-01-29T00:00:00"/>
    <n v="18"/>
    <n v="14.24"/>
    <n v="256.32"/>
    <n v="1"/>
    <x v="0"/>
    <x v="1"/>
  </r>
  <r>
    <x v="1"/>
    <x v="3"/>
    <x v="1"/>
    <d v="2024-11-01T00:00:00"/>
    <n v="24"/>
    <n v="77.099999999999994"/>
    <n v="1850.4"/>
    <n v="65"/>
    <x v="1"/>
    <x v="0"/>
  </r>
  <r>
    <x v="2"/>
    <x v="3"/>
    <x v="0"/>
    <d v="2025-09-18T00:00:00"/>
    <n v="48"/>
    <n v="71.33"/>
    <n v="3423.84"/>
    <n v="40"/>
    <x v="1"/>
    <x v="1"/>
  </r>
  <r>
    <x v="1"/>
    <x v="2"/>
    <x v="0"/>
    <d v="2025-07-27T00:00:00"/>
    <n v="19"/>
    <n v="31.01"/>
    <n v="589.19000000000005"/>
    <n v="9"/>
    <x v="0"/>
    <x v="0"/>
  </r>
  <r>
    <x v="0"/>
    <x v="0"/>
    <x v="0"/>
    <d v="2024-11-01T00:00:00"/>
    <n v="33"/>
    <n v="89.09"/>
    <n v="2939.97"/>
    <n v="7"/>
    <x v="2"/>
    <x v="0"/>
  </r>
  <r>
    <x v="1"/>
    <x v="3"/>
    <x v="2"/>
    <d v="2024-01-26T00:00:00"/>
    <n v="25"/>
    <n v="35"/>
    <n v="875"/>
    <n v="13"/>
    <x v="1"/>
    <x v="0"/>
  </r>
  <r>
    <x v="0"/>
    <x v="1"/>
    <x v="2"/>
    <d v="2025-01-25T00:00:00"/>
    <n v="10"/>
    <n v="15.68"/>
    <n v="156.80000000000001"/>
    <n v="96"/>
    <x v="2"/>
    <x v="1"/>
  </r>
  <r>
    <x v="1"/>
    <x v="1"/>
    <x v="0"/>
    <d v="2024-10-01T00:00:00"/>
    <n v="8"/>
    <n v="11.08"/>
    <n v="88.64"/>
    <n v="37"/>
    <x v="1"/>
    <x v="0"/>
  </r>
  <r>
    <x v="4"/>
    <x v="1"/>
    <x v="1"/>
    <d v="2024-11-09T00:00:00"/>
    <n v="44"/>
    <n v="33.78"/>
    <n v="1486.32"/>
    <n v="58"/>
    <x v="0"/>
    <x v="0"/>
  </r>
  <r>
    <x v="4"/>
    <x v="0"/>
    <x v="2"/>
    <d v="2024-08-10T00:00:00"/>
    <n v="13"/>
    <n v="15.8"/>
    <n v="205.4"/>
    <n v="72"/>
    <x v="1"/>
    <x v="1"/>
  </r>
  <r>
    <x v="2"/>
    <x v="0"/>
    <x v="2"/>
    <d v="2025-07-12T00:00:00"/>
    <n v="37"/>
    <n v="53.12"/>
    <n v="1965.44"/>
    <n v="15"/>
    <x v="0"/>
    <x v="0"/>
  </r>
  <r>
    <x v="4"/>
    <x v="2"/>
    <x v="2"/>
    <d v="2025-10-10T00:00:00"/>
    <n v="34"/>
    <n v="45.25"/>
    <n v="1538.5"/>
    <n v="93"/>
    <x v="2"/>
    <x v="0"/>
  </r>
  <r>
    <x v="1"/>
    <x v="4"/>
    <x v="0"/>
    <d v="2024-08-30T00:00:00"/>
    <n v="47"/>
    <n v="67.86"/>
    <n v="3189.42"/>
    <n v="70"/>
    <x v="0"/>
    <x v="1"/>
  </r>
  <r>
    <x v="4"/>
    <x v="3"/>
    <x v="0"/>
    <d v="2024-04-21T00:00:00"/>
    <n v="4"/>
    <n v="54.55"/>
    <n v="218.2"/>
    <n v="73"/>
    <x v="1"/>
    <x v="1"/>
  </r>
  <r>
    <x v="4"/>
    <x v="4"/>
    <x v="2"/>
    <d v="2024-03-10T00:00:00"/>
    <n v="28"/>
    <n v="27.06"/>
    <n v="757.68"/>
    <n v="38"/>
    <x v="1"/>
    <x v="0"/>
  </r>
  <r>
    <x v="1"/>
    <x v="5"/>
    <x v="0"/>
    <d v="2024-04-12T00:00:00"/>
    <n v="45"/>
    <n v="28.16"/>
    <n v="1267.2"/>
    <n v="83"/>
    <x v="1"/>
    <x v="0"/>
  </r>
  <r>
    <x v="3"/>
    <x v="0"/>
    <x v="2"/>
    <d v="2025-03-30T00:00:00"/>
    <n v="21"/>
    <n v="43.84"/>
    <n v="920.64"/>
    <n v="59"/>
    <x v="0"/>
    <x v="1"/>
  </r>
  <r>
    <x v="4"/>
    <x v="4"/>
    <x v="1"/>
    <d v="2025-04-15T00:00:00"/>
    <n v="31"/>
    <n v="15.09"/>
    <n v="467.79"/>
    <n v="73"/>
    <x v="1"/>
    <x v="1"/>
  </r>
  <r>
    <x v="0"/>
    <x v="0"/>
    <x v="2"/>
    <d v="2025-04-18T00:00:00"/>
    <n v="1"/>
    <n v="15.16"/>
    <n v="15.16"/>
    <n v="61"/>
    <x v="0"/>
    <x v="0"/>
  </r>
  <r>
    <x v="2"/>
    <x v="4"/>
    <x v="0"/>
    <d v="2025-09-28T00:00:00"/>
    <n v="5"/>
    <n v="64.459999999999994"/>
    <n v="322.3"/>
    <n v="4"/>
    <x v="2"/>
    <x v="1"/>
  </r>
  <r>
    <x v="0"/>
    <x v="2"/>
    <x v="2"/>
    <d v="2025-07-28T00:00:00"/>
    <n v="8"/>
    <n v="31.36"/>
    <n v="250.88"/>
    <n v="96"/>
    <x v="0"/>
    <x v="1"/>
  </r>
  <r>
    <x v="2"/>
    <x v="0"/>
    <x v="0"/>
    <d v="2024-11-17T00:00:00"/>
    <n v="6"/>
    <n v="85.62"/>
    <n v="513.72"/>
    <n v="56"/>
    <x v="0"/>
    <x v="1"/>
  </r>
  <r>
    <x v="4"/>
    <x v="3"/>
    <x v="2"/>
    <d v="2025-06-22T00:00:00"/>
    <n v="43"/>
    <n v="80.099999999999994"/>
    <n v="3444.3"/>
    <n v="27"/>
    <x v="0"/>
    <x v="0"/>
  </r>
  <r>
    <x v="3"/>
    <x v="3"/>
    <x v="1"/>
    <d v="2024-07-16T00:00:00"/>
    <n v="31"/>
    <n v="59.11"/>
    <n v="1832.41"/>
    <n v="77"/>
    <x v="2"/>
    <x v="1"/>
  </r>
  <r>
    <x v="1"/>
    <x v="4"/>
    <x v="0"/>
    <d v="2025-12-18T00:00:00"/>
    <n v="50"/>
    <n v="20.77"/>
    <n v="1038.5"/>
    <n v="90"/>
    <x v="0"/>
    <x v="0"/>
  </r>
  <r>
    <x v="4"/>
    <x v="5"/>
    <x v="0"/>
    <d v="2024-08-25T00:00:00"/>
    <m/>
    <n v="45.31"/>
    <m/>
    <n v="77"/>
    <x v="0"/>
    <x v="1"/>
  </r>
  <r>
    <x v="3"/>
    <x v="5"/>
    <x v="0"/>
    <d v="2025-08-24T00:00:00"/>
    <n v="46"/>
    <n v="58.71"/>
    <n v="2700.66"/>
    <n v="100"/>
    <x v="1"/>
    <x v="1"/>
  </r>
  <r>
    <x v="0"/>
    <x v="3"/>
    <x v="0"/>
    <d v="2024-03-25T00:00:00"/>
    <n v="31"/>
    <n v="1.67"/>
    <n v="51.77"/>
    <n v="46"/>
    <x v="2"/>
    <x v="1"/>
  </r>
  <r>
    <x v="0"/>
    <x v="1"/>
    <x v="2"/>
    <d v="2024-05-16T00:00:00"/>
    <n v="45"/>
    <n v="46.14"/>
    <n v="2076.3000000000002"/>
    <n v="71"/>
    <x v="0"/>
    <x v="1"/>
  </r>
  <r>
    <x v="0"/>
    <x v="3"/>
    <x v="1"/>
    <d v="2024-09-29T00:00:00"/>
    <n v="44"/>
    <n v="22.36"/>
    <n v="983.84"/>
    <n v="22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BD9C4A-23C5-4FF7-891F-0EE3A691BFAE}" name="PT1" cacheId="19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7:C19" firstHeaderRow="1" firstDataRow="1" firstDataCol="1" rowPageCount="1" colPageCount="1"/>
  <pivotFields count="10">
    <pivotField showAll="0"/>
    <pivotField axis="axisPage" showAll="0">
      <items count="7">
        <item x="3"/>
        <item x="2"/>
        <item x="4"/>
        <item x="0"/>
        <item x="5"/>
        <item x="1"/>
        <item t="default"/>
      </items>
    </pivotField>
    <pivotField axis="axisRow" showAll="0" defaultSubtotal="0">
      <items count="3">
        <item x="0"/>
        <item x="2"/>
        <item x="1"/>
      </items>
    </pivotField>
    <pivotField numFmtId="14" showAll="0"/>
    <pivotField showAll="0"/>
    <pivotField dataField="1" numFmtId="2" showAll="0"/>
    <pivotField showAll="0"/>
    <pivotField showAll="0"/>
    <pivotField axis="axisRow" showAll="0" defaultSubtotal="0">
      <items count="3">
        <item x="1"/>
        <item x="2"/>
        <item x="0"/>
      </items>
    </pivotField>
    <pivotField showAll="0"/>
  </pivotFields>
  <rowFields count="2">
    <field x="2"/>
    <field x="8"/>
  </rowFields>
  <rowItems count="12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</rowItems>
  <colItems count="1">
    <i/>
  </colItems>
  <pageFields count="1">
    <pageField fld="1" hier="-1"/>
  </pageFields>
  <dataFields count="1">
    <dataField name="Var of Price" fld="5" subtotal="var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C8F700-343F-4EE1-A706-13B89072DDFD}" name="PT2" cacheId="19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4:C54" firstHeaderRow="1" firstDataRow="1" firstDataCol="1"/>
  <pivotFields count="10">
    <pivotField showAll="0"/>
    <pivotField axis="axisRow" showAll="0">
      <items count="7">
        <item x="3"/>
        <item x="2"/>
        <item x="4"/>
        <item x="0"/>
        <item x="5"/>
        <item x="1"/>
        <item t="default"/>
      </items>
    </pivotField>
    <pivotField showAll="0"/>
    <pivotField numFmtId="14" showAll="0"/>
    <pivotField dataField="1" showAll="0"/>
    <pivotField numFmtId="2"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Row" showAll="0" defaultSubtotal="0">
      <items count="2">
        <item x="1"/>
        <item x="0"/>
      </items>
    </pivotField>
  </pivotFields>
  <rowFields count="3">
    <field x="9"/>
    <field x="1"/>
    <field x="8"/>
  </rowFields>
  <rowItems count="50">
    <i>
      <x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1">
      <x v="3"/>
    </i>
    <i r="2">
      <x/>
    </i>
    <i r="2">
      <x v="1"/>
    </i>
    <i r="2">
      <x v="2"/>
    </i>
    <i r="1">
      <x v="4"/>
    </i>
    <i r="2">
      <x/>
    </i>
    <i r="2">
      <x v="1"/>
    </i>
    <i r="2">
      <x v="2"/>
    </i>
    <i r="1">
      <x v="5"/>
    </i>
    <i r="2">
      <x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1">
      <x v="3"/>
    </i>
    <i r="2">
      <x/>
    </i>
    <i r="2">
      <x v="1"/>
    </i>
    <i r="2">
      <x v="2"/>
    </i>
    <i r="1">
      <x v="4"/>
    </i>
    <i r="2">
      <x/>
    </i>
    <i r="2">
      <x v="1"/>
    </i>
    <i r="2">
      <x v="2"/>
    </i>
    <i r="1">
      <x v="5"/>
    </i>
    <i r="2">
      <x/>
    </i>
    <i r="2">
      <x v="1"/>
    </i>
    <i r="2">
      <x v="2"/>
    </i>
  </rowItems>
  <colItems count="1">
    <i/>
  </colItems>
  <dataFields count="1">
    <dataField name="Count Numbers of Units" fld="4" subtotal="countNums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18E3B4-31C6-4BCA-BB14-218FD77DE65D}" name="PT3" cacheId="196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>
  <location ref="B4:D17" firstHeaderRow="1" firstDataRow="1" firstDataCol="2"/>
  <pivotFields count="10"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numFmtId="14" outline="0" showAll="0"/>
    <pivotField dataField="1" compact="0" outline="0" showAll="0"/>
    <pivotField compact="0" numFmtId="2" outline="0" showAll="0"/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</pivotFields>
  <rowFields count="2">
    <field x="2"/>
    <field x="8"/>
  </rowFields>
  <rowItems count="13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 t="grand">
      <x/>
    </i>
  </rowItems>
  <colItems count="1">
    <i/>
  </colItems>
  <dataFields count="1">
    <dataField name="StdDev of Units" fld="4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35E754-3AB7-4F78-B695-3FAA454D60EA}" name="PT4" cacheId="1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7:B8" firstHeaderRow="1" firstDataRow="1" firstDataCol="0" rowPageCount="1" colPageCount="1"/>
  <pivotFields count="10"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numFmtId="2" outline="0" showAll="0"/>
    <pivotField dataField="1" compact="0" outline="0" showAll="0"/>
    <pivotField compact="0" outline="0" showAll="0"/>
    <pivotField axis="axisPage" compact="0" outline="0" showAll="0">
      <items count="4">
        <item x="1"/>
        <item x="2"/>
        <item x="0"/>
        <item t="default"/>
      </items>
    </pivotField>
    <pivotField compact="0" outline="0" showAll="0"/>
  </pivotFields>
  <rowItems count="1">
    <i/>
  </rowItems>
  <colItems count="1">
    <i/>
  </colItems>
  <pageFields count="1">
    <pageField fld="8" hier="-1"/>
  </pageFields>
  <dataFields count="1">
    <dataField name="StdDev of Revenue" fld="6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777EBC-AD99-4F95-96EA-0DD3800D48D1}" name="PT5" cacheId="19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outline="1" outlineData="1" compactData="0" multipleFieldFilters="0">
  <location ref="B4:M18" firstHeaderRow="1" firstDataRow="3" firstDataCol="2"/>
  <pivotFields count="10">
    <pivotField axis="axisCol" compact="0" showAll="0" defaultSubtotal="0">
      <items count="5">
        <item x="4"/>
        <item x="1"/>
        <item x="0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>
      <items count="4">
        <item x="0"/>
        <item x="2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>
      <items count="4">
        <item x="1"/>
        <item x="2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8"/>
  </rowFields>
  <rowItems count="12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</rowItems>
  <colFields count="2">
    <field x="0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</colItems>
  <dataFields count="2">
    <dataField name="Varp of Score" fld="7" subtotal="varp" baseField="0" baseItem="0"/>
    <dataField name="Max of Score" fld="7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F9DABA-AED0-40CC-BAE9-A92E4929BCBB}" name="PT6" cacheId="1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O27" firstHeaderRow="1" firstDataRow="3" firstDataCol="2"/>
  <pivotFields count="10">
    <pivotField axis="axisRow" compact="0" showAll="0" defaultSubtotal="0">
      <items count="5">
        <item x="4"/>
        <item x="1"/>
        <item x="0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2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>
      <items count="4">
        <item x="1"/>
        <item x="2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8"/>
  </rowFields>
  <rowItems count="2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Fields count="2">
    <field x="2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Average of Price" fld="5" subtotal="average" baseField="0" baseItem="0" numFmtId="2"/>
    <dataField name="Varp of Score" fld="7" subtotal="varp" baseField="0" baseItem="0"/>
    <dataField name="Var of Revenue" fld="6" subtotal="var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B30AF1-3175-4F3C-B208-5421291C123E}" name="PT7" cacheId="1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7" firstHeaderRow="0" firstDataRow="1" firstDataCol="1"/>
  <pivotFields count="10"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dataField="1" compact="0" numFmtId="2" outline="0" showAll="0"/>
    <pivotField compact="0" outline="0" showAll="0"/>
    <pivotField dataField="1" compact="0" outline="0" showAll="0"/>
    <pivotField compact="0" outline="0" showAll="0"/>
    <pivotField axis="axisRow" compact="0" outline="0" showAll="0" sortType="descending" defaultSubtotal="0">
      <items count="2">
        <item x="0"/>
        <item x="1"/>
      </items>
    </pivotField>
  </pivotFields>
  <rowFields count="1">
    <field x="9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tdDevp of Score" fld="7" subtotal="stdDevp" baseField="0" baseItem="0"/>
    <dataField name="StdDev of Price" fld="5" subtotal="stdDev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81D264-125F-477F-B1B9-15DF9B61EBFD}" name="PT8" cacheId="19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B4:I17" firstHeaderRow="1" firstDataRow="2" firstDataCol="2"/>
  <pivotFields count="10">
    <pivotField axis="axisCol" compact="0" outline="0" showAll="0">
      <items count="6">
        <item x="4"/>
        <item x="1"/>
        <item x="0"/>
        <item x="2"/>
        <item x="3"/>
        <item t="default"/>
      </items>
    </pivotField>
    <pivotField compact="0" outline="0" showAll="0"/>
    <pivotField axis="axisRow" compact="0" outline="0" showAll="0" sortType="descending">
      <items count="4">
        <item x="1"/>
        <item x="2"/>
        <item x="0"/>
        <item t="default"/>
      </items>
    </pivotField>
    <pivotField compact="0" numFmtId="14" outline="0" showAll="0"/>
    <pivotField compact="0" outline="0" showAll="0"/>
    <pivotField compact="0" numFmtId="2" outline="0" showAll="0"/>
    <pivotField compact="0" outline="0" showAll="0"/>
    <pivotField dataField="1"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</pivotFields>
  <rowFields count="2">
    <field x="2"/>
    <field x="8"/>
  </rowFields>
  <rowItems count="12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Varp of Score" fld="7" subtotal="varp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194780-69D6-4B04-8913-D4AF0408D8FF}" name="PT9" cacheId="1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U8" firstHeaderRow="1" firstDataRow="4" firstDataCol="0"/>
  <pivotFields count="10">
    <pivotField showAll="0"/>
    <pivotField showAll="0"/>
    <pivotField axis="axisCol" showAll="0">
      <items count="4">
        <item x="0"/>
        <item x="2"/>
        <item x="1"/>
        <item t="default"/>
      </items>
    </pivotField>
    <pivotField numFmtId="14" showAll="0"/>
    <pivotField dataField="1" showAll="0"/>
    <pivotField dataField="1" numFmtId="2"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Items count="1">
    <i/>
  </rowItems>
  <colFields count="3">
    <field x="2"/>
    <field x="9"/>
    <field x="-2"/>
  </colFields>
  <colItems count="20">
    <i>
      <x/>
      <x/>
      <x/>
    </i>
    <i r="2" i="1">
      <x v="1"/>
    </i>
    <i r="1">
      <x v="1"/>
      <x/>
    </i>
    <i r="2" i="1">
      <x v="1"/>
    </i>
    <i t="default">
      <x/>
    </i>
    <i t="default" i="1">
      <x/>
    </i>
    <i>
      <x v="1"/>
      <x/>
      <x/>
    </i>
    <i r="2" i="1">
      <x v="1"/>
    </i>
    <i r="1">
      <x v="1"/>
      <x/>
    </i>
    <i r="2" i="1">
      <x v="1"/>
    </i>
    <i t="default">
      <x v="1"/>
    </i>
    <i t="default" i="1">
      <x v="1"/>
    </i>
    <i>
      <x v="2"/>
      <x/>
      <x/>
    </i>
    <i r="2" i="1">
      <x v="1"/>
    </i>
    <i r="1">
      <x v="1"/>
      <x/>
    </i>
    <i r="2" i="1">
      <x v="1"/>
    </i>
    <i t="default">
      <x v="2"/>
    </i>
    <i t="default" i="1">
      <x v="2"/>
    </i>
    <i t="grand">
      <x/>
    </i>
    <i t="grand" i="1">
      <x/>
    </i>
  </colItems>
  <dataFields count="2">
    <dataField name="Product of Price" fld="5" subtotal="product" baseField="0" baseItem="0" numFmtId="2"/>
    <dataField name="Min of Units" fld="4" subtotal="min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0F7667-1AB2-4010-B0F5-F35AB798205B}" name="PT10" cacheId="19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B4:F23" firstHeaderRow="1" firstDataRow="2" firstDataCol="2"/>
  <pivotFields count="10">
    <pivotField compact="0" outline="0" showAll="0"/>
    <pivotField axis="axisRow" compact="0" outline="0" showAll="0" defaultSubtotal="0">
      <items count="6">
        <item x="3"/>
        <item x="2"/>
        <item x="4"/>
        <item x="0"/>
        <item x="5"/>
        <item x="1"/>
      </items>
    </pivotField>
    <pivotField compact="0" outline="0" showAll="0"/>
    <pivotField compact="0" numFmtId="14" outline="0" showAll="0"/>
    <pivotField compact="0" outline="0" showAll="0"/>
    <pivotField compact="0" numFmtId="2" outline="0" showAll="0"/>
    <pivotField dataField="1" compact="0" outline="0" showAll="0"/>
    <pivotField compact="0" outline="0" showAll="0"/>
    <pivotField axis="axisRow" compact="0" outline="0" showAll="0" sortType="descending" defaultSubtotal="0">
      <items count="3">
        <item x="0"/>
        <item x="2"/>
        <item x="1"/>
      </items>
    </pivotField>
    <pivotField axis="axisCol" compact="0" outline="0" showAll="0" defaultSubtotal="0">
      <items count="2">
        <item x="1"/>
        <item x="0"/>
      </items>
    </pivotField>
  </pivotFields>
  <rowFields count="2">
    <field x="1"/>
    <field x="8"/>
  </rowFields>
  <rowItems count="18">
    <i>
      <x/>
      <x/>
    </i>
    <i r="1">
      <x v="1"/>
    </i>
    <i r="1">
      <x v="2"/>
    </i>
    <i>
      <x v="1"/>
      <x/>
    </i>
    <i r="1">
      <x v="1"/>
    </i>
    <i r="1">
      <x v="2"/>
    </i>
    <i>
      <x v="2"/>
      <x/>
    </i>
    <i r="1">
      <x v="1"/>
    </i>
    <i r="1">
      <x v="2"/>
    </i>
    <i>
      <x v="3"/>
      <x/>
    </i>
    <i r="1">
      <x v="1"/>
    </i>
    <i r="1">
      <x v="2"/>
    </i>
    <i>
      <x v="4"/>
      <x/>
    </i>
    <i r="1">
      <x v="1"/>
    </i>
    <i r="1">
      <x v="2"/>
    </i>
    <i>
      <x v="5"/>
      <x/>
    </i>
    <i r="1">
      <x v="1"/>
    </i>
    <i r="1">
      <x v="2"/>
    </i>
  </rowItems>
  <colFields count="1">
    <field x="9"/>
  </colFields>
  <colItems count="3">
    <i>
      <x/>
    </i>
    <i>
      <x v="1"/>
    </i>
    <i t="grand">
      <x/>
    </i>
  </colItems>
  <dataFields count="1">
    <dataField name="Varp of Revenue" fld="6" subtotal="varp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61CAF0-4F6F-4523-9D19-D360ED4988E0}" name="PT11" cacheId="1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E84" firstHeaderRow="0" firstDataRow="1" firstDataCol="1"/>
  <pivotFields count="10">
    <pivotField axis="axisRow" showAll="0" defaultSubtotal="0">
      <items count="5">
        <item x="4"/>
        <item x="1"/>
        <item x="0"/>
        <item x="2"/>
        <item x="3"/>
      </items>
    </pivotField>
    <pivotField axis="axisRow" showAll="0">
      <items count="7">
        <item x="3"/>
        <item x="2"/>
        <item x="4"/>
        <item x="0"/>
        <item x="5"/>
        <item x="1"/>
        <item t="default"/>
      </items>
    </pivotField>
    <pivotField showAll="0"/>
    <pivotField numFmtId="14" showAll="0"/>
    <pivotField showAll="0"/>
    <pivotField dataField="1" numFmtId="2" showAll="0"/>
    <pivotField dataField="1" showAll="0"/>
    <pivotField dataField="1" showAll="0"/>
    <pivotField axis="axisRow" showAll="0">
      <items count="4">
        <item x="1"/>
        <item x="2"/>
        <item x="0"/>
        <item t="default"/>
      </items>
    </pivotField>
    <pivotField showAll="0"/>
  </pivotFields>
  <rowFields count="3">
    <field x="8"/>
    <field x="1"/>
    <field x="0"/>
  </rowFields>
  <rowItems count="80">
    <i>
      <x/>
    </i>
    <i r="1">
      <x/>
    </i>
    <i r="2">
      <x/>
    </i>
    <i r="2">
      <x v="1"/>
    </i>
    <i r="2">
      <x v="2"/>
    </i>
    <i r="2">
      <x v="3"/>
    </i>
    <i r="1">
      <x v="1"/>
    </i>
    <i r="2">
      <x v="2"/>
    </i>
    <i r="2">
      <x v="3"/>
    </i>
    <i r="1">
      <x v="2"/>
    </i>
    <i r="2">
      <x/>
    </i>
    <i r="2">
      <x v="3"/>
    </i>
    <i r="1">
      <x v="3"/>
    </i>
    <i r="2">
      <x/>
    </i>
    <i r="2">
      <x v="2"/>
    </i>
    <i r="2">
      <x v="3"/>
    </i>
    <i r="2">
      <x v="4"/>
    </i>
    <i r="1">
      <x v="4"/>
    </i>
    <i r="2">
      <x/>
    </i>
    <i r="2">
      <x v="1"/>
    </i>
    <i r="2">
      <x v="2"/>
    </i>
    <i r="2">
      <x v="3"/>
    </i>
    <i r="2">
      <x v="4"/>
    </i>
    <i r="1">
      <x v="5"/>
    </i>
    <i r="2">
      <x v="1"/>
    </i>
    <i r="2">
      <x v="2"/>
    </i>
    <i r="2">
      <x v="3"/>
    </i>
    <i>
      <x v="1"/>
    </i>
    <i r="1">
      <x/>
    </i>
    <i r="2">
      <x/>
    </i>
    <i r="2">
      <x v="2"/>
    </i>
    <i r="2">
      <x v="3"/>
    </i>
    <i r="2">
      <x v="4"/>
    </i>
    <i r="1">
      <x v="1"/>
    </i>
    <i r="2">
      <x/>
    </i>
    <i r="2">
      <x v="2"/>
    </i>
    <i r="1">
      <x v="2"/>
    </i>
    <i r="2">
      <x v="2"/>
    </i>
    <i r="2">
      <x v="3"/>
    </i>
    <i r="2">
      <x v="4"/>
    </i>
    <i r="1">
      <x v="3"/>
    </i>
    <i r="2">
      <x/>
    </i>
    <i r="2">
      <x v="2"/>
    </i>
    <i r="2">
      <x v="3"/>
    </i>
    <i r="1">
      <x v="4"/>
    </i>
    <i r="2">
      <x/>
    </i>
    <i r="2">
      <x v="1"/>
    </i>
    <i r="2">
      <x v="2"/>
    </i>
    <i r="2">
      <x v="3"/>
    </i>
    <i r="1">
      <x v="5"/>
    </i>
    <i r="2">
      <x v="2"/>
    </i>
    <i r="2">
      <x v="3"/>
    </i>
    <i>
      <x v="2"/>
    </i>
    <i r="1">
      <x/>
    </i>
    <i r="2">
      <x/>
    </i>
    <i r="2">
      <x v="1"/>
    </i>
    <i r="1">
      <x v="1"/>
    </i>
    <i r="2">
      <x v="1"/>
    </i>
    <i r="2">
      <x v="2"/>
    </i>
    <i r="2">
      <x v="3"/>
    </i>
    <i r="1">
      <x v="2"/>
    </i>
    <i r="2">
      <x v="1"/>
    </i>
    <i r="2">
      <x v="4"/>
    </i>
    <i r="1">
      <x v="3"/>
    </i>
    <i r="2">
      <x v="1"/>
    </i>
    <i r="2">
      <x v="2"/>
    </i>
    <i r="2">
      <x v="3"/>
    </i>
    <i r="2">
      <x v="4"/>
    </i>
    <i r="1">
      <x v="4"/>
    </i>
    <i r="2">
      <x/>
    </i>
    <i r="2">
      <x v="1"/>
    </i>
    <i r="2">
      <x v="2"/>
    </i>
    <i r="2">
      <x v="3"/>
    </i>
    <i r="2">
      <x v="4"/>
    </i>
    <i r="1">
      <x v="5"/>
    </i>
    <i r="2">
      <x/>
    </i>
    <i r="2">
      <x v="2"/>
    </i>
    <i r="2">
      <x v="3"/>
    </i>
    <i r="2"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roduct of Price" fld="5" subtotal="product" baseField="0" baseItem="0" numFmtId="2"/>
    <dataField name="Count of Score" fld="7" subtotal="count" baseField="0" baseItem="0"/>
    <dataField name="Varp of Revenue" fld="6" subtotal="varp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E2DF8-DC50-4268-91B0-EC221F24791B}" name="PT12" cacheId="19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B4:C6" firstHeaderRow="1" firstDataRow="1" firstDataCol="1"/>
  <pivotFields count="10">
    <pivotField compact="0" outline="0" showAll="0"/>
    <pivotField compact="0" outline="0" showAll="0"/>
    <pivotField compact="0" outline="0" showAll="0"/>
    <pivotField compact="0" numFmtId="14" outline="0" showAll="0"/>
    <pivotField dataField="1"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1">
    <field x="9"/>
  </rowFields>
  <rowItems count="2">
    <i>
      <x/>
    </i>
    <i>
      <x v="1"/>
    </i>
  </rowItems>
  <colItems count="1">
    <i/>
  </colItems>
  <dataFields count="1">
    <dataField name="Varp of Units" fld="4" subtotal="varp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05DB1B-03D1-4E96-8DD0-337841119DA4}" name="PT13" cacheId="1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D11" firstHeaderRow="0" firstDataRow="1" firstDataCol="1"/>
  <pivotFields count="10"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 defaultSubtotal="0">
      <items count="6">
        <item x="3"/>
        <item x="2"/>
        <item x="4"/>
        <item x="0"/>
        <item x="5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2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Numbers of Units" fld="4" subtotal="countNums" baseField="0" baseItem="0"/>
    <dataField name="Count of Price" fld="5" subtotal="count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78CD68-6C5E-4BCF-BEC2-2EF38AD3926B}" name="PT14" cacheId="1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O21" firstHeaderRow="1" firstDataRow="3" firstDataCol="2"/>
  <pivotFields count="10">
    <pivotField axis="axisCol" compact="0" outline="0" showAll="0">
      <items count="6">
        <item x="4"/>
        <item x="1"/>
        <item x="0"/>
        <item x="2"/>
        <item x="3"/>
        <item t="default"/>
      </items>
    </pivotField>
    <pivotField axis="axisRow" compact="0" outline="0" showAll="0" sortType="descending">
      <items count="7">
        <item x="1"/>
        <item x="5"/>
        <item x="0"/>
        <item x="4"/>
        <item x="2"/>
        <item x="3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numFmtId="2" outline="0" showAll="0"/>
    <pivotField compact="0" outline="0" showAll="0"/>
    <pivotField dataField="1" compact="0" outline="0" showAll="0"/>
    <pivotField compact="0" outline="0" showAll="0"/>
    <pivotField axis="axisRow" compact="0" outline="0" showAll="0" sortType="descending">
      <items count="3">
        <item x="0"/>
        <item x="1"/>
        <item t="default"/>
      </items>
    </pivotField>
  </pivotFields>
  <rowFields count="2">
    <field x="9"/>
    <field x="1"/>
  </rowFields>
  <rowItems count="15">
    <i>
      <x/>
      <x/>
    </i>
    <i r="1">
      <x v="1"/>
    </i>
    <i r="1">
      <x v="2"/>
    </i>
    <i r="1">
      <x v="3"/>
    </i>
    <i r="1">
      <x v="4"/>
    </i>
    <i r="1">
      <x v="5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t="default">
      <x v="1"/>
    </i>
    <i t="grand">
      <x/>
    </i>
  </rowItems>
  <colFields count="2">
    <field x="0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Average of Units" fld="4" subtotal="average" baseField="0" baseItem="0"/>
    <dataField name="Sum of Scor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F9430-1C97-4B44-B8B5-908955412D1B}">
  <dimension ref="A1:J91"/>
  <sheetViews>
    <sheetView tabSelected="1" workbookViewId="0"/>
  </sheetViews>
  <sheetFormatPr defaultRowHeight="14.4" x14ac:dyDescent="0.3"/>
  <cols>
    <col min="4" max="4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3</v>
      </c>
      <c r="C2" t="s">
        <v>11</v>
      </c>
      <c r="D2" s="1">
        <v>45467</v>
      </c>
      <c r="E2">
        <v>4</v>
      </c>
      <c r="F2" s="2">
        <v>87.62</v>
      </c>
      <c r="G2" s="3">
        <v>350.48</v>
      </c>
      <c r="H2">
        <v>62</v>
      </c>
      <c r="I2" t="s">
        <v>12</v>
      </c>
      <c r="J2" t="s">
        <v>13</v>
      </c>
    </row>
    <row r="3" spans="1:10" x14ac:dyDescent="0.3">
      <c r="A3" t="s">
        <v>14</v>
      </c>
      <c r="B3" t="s">
        <v>3</v>
      </c>
      <c r="C3" t="s">
        <v>15</v>
      </c>
      <c r="D3" s="1">
        <v>45456</v>
      </c>
      <c r="E3">
        <v>15</v>
      </c>
      <c r="F3" s="2">
        <v>12.02</v>
      </c>
      <c r="G3" s="3">
        <v>180.3</v>
      </c>
      <c r="H3">
        <v>26</v>
      </c>
      <c r="I3" t="s">
        <v>12</v>
      </c>
      <c r="J3" t="s">
        <v>13</v>
      </c>
    </row>
    <row r="4" spans="1:10" x14ac:dyDescent="0.3">
      <c r="A4" t="s">
        <v>10</v>
      </c>
      <c r="B4" t="s">
        <v>16</v>
      </c>
      <c r="C4" t="s">
        <v>15</v>
      </c>
      <c r="D4" s="1">
        <v>45549</v>
      </c>
      <c r="E4">
        <v>19</v>
      </c>
      <c r="F4" s="2">
        <v>35.9</v>
      </c>
      <c r="G4" s="3">
        <v>682.1</v>
      </c>
      <c r="H4">
        <v>61</v>
      </c>
      <c r="I4" t="s">
        <v>17</v>
      </c>
      <c r="J4" t="s">
        <v>18</v>
      </c>
    </row>
    <row r="5" spans="1:10" x14ac:dyDescent="0.3">
      <c r="A5" t="s">
        <v>10</v>
      </c>
      <c r="B5" t="s">
        <v>19</v>
      </c>
      <c r="C5" t="s">
        <v>15</v>
      </c>
      <c r="D5" s="1">
        <v>45584</v>
      </c>
      <c r="F5" s="2">
        <v>53.72</v>
      </c>
      <c r="G5" s="3"/>
      <c r="H5">
        <v>94</v>
      </c>
      <c r="I5" t="s">
        <v>20</v>
      </c>
      <c r="J5" t="s">
        <v>13</v>
      </c>
    </row>
    <row r="6" spans="1:10" x14ac:dyDescent="0.3">
      <c r="A6" t="s">
        <v>14</v>
      </c>
      <c r="B6" t="s">
        <v>21</v>
      </c>
      <c r="C6" t="s">
        <v>22</v>
      </c>
      <c r="D6" s="1">
        <v>45638</v>
      </c>
      <c r="E6">
        <v>10</v>
      </c>
      <c r="F6" s="2">
        <v>23.96</v>
      </c>
      <c r="G6" s="3">
        <v>239.6</v>
      </c>
      <c r="H6">
        <v>98</v>
      </c>
      <c r="I6" t="s">
        <v>17</v>
      </c>
      <c r="J6" t="s">
        <v>13</v>
      </c>
    </row>
    <row r="7" spans="1:10" x14ac:dyDescent="0.3">
      <c r="A7" t="s">
        <v>23</v>
      </c>
      <c r="B7" t="s">
        <v>24</v>
      </c>
      <c r="C7" t="s">
        <v>11</v>
      </c>
      <c r="D7" s="1">
        <v>45982</v>
      </c>
      <c r="E7">
        <v>18</v>
      </c>
      <c r="F7" s="2">
        <v>21.31</v>
      </c>
      <c r="G7" s="3">
        <v>383.58</v>
      </c>
      <c r="H7">
        <v>5</v>
      </c>
      <c r="I7" t="s">
        <v>20</v>
      </c>
      <c r="J7" t="s">
        <v>18</v>
      </c>
    </row>
    <row r="8" spans="1:10" x14ac:dyDescent="0.3">
      <c r="B8" t="s">
        <v>3</v>
      </c>
      <c r="C8" t="s">
        <v>22</v>
      </c>
      <c r="D8" s="1">
        <v>45553</v>
      </c>
      <c r="E8">
        <v>1</v>
      </c>
      <c r="F8" s="2">
        <v>67.72</v>
      </c>
      <c r="G8" s="3">
        <v>67.72</v>
      </c>
      <c r="H8">
        <v>39</v>
      </c>
      <c r="I8" t="s">
        <v>17</v>
      </c>
      <c r="J8" t="s">
        <v>13</v>
      </c>
    </row>
    <row r="9" spans="1:10" x14ac:dyDescent="0.3">
      <c r="A9" t="s">
        <v>25</v>
      </c>
      <c r="B9" t="s">
        <v>26</v>
      </c>
      <c r="C9" t="s">
        <v>22</v>
      </c>
      <c r="D9" s="1">
        <v>45533</v>
      </c>
      <c r="E9">
        <v>2</v>
      </c>
      <c r="F9" s="2">
        <v>26.26</v>
      </c>
      <c r="G9" s="3">
        <v>52.52</v>
      </c>
      <c r="H9">
        <v>0</v>
      </c>
      <c r="I9" t="s">
        <v>20</v>
      </c>
      <c r="J9" t="s">
        <v>18</v>
      </c>
    </row>
    <row r="10" spans="1:10" x14ac:dyDescent="0.3">
      <c r="A10" t="s">
        <v>10</v>
      </c>
      <c r="B10" t="s">
        <v>3</v>
      </c>
      <c r="C10" t="s">
        <v>15</v>
      </c>
      <c r="D10" s="1">
        <v>45856</v>
      </c>
      <c r="E10">
        <v>42</v>
      </c>
      <c r="F10" s="2">
        <v>14.38</v>
      </c>
      <c r="G10" s="3">
        <v>603.96</v>
      </c>
      <c r="H10">
        <v>77</v>
      </c>
      <c r="I10" t="s">
        <v>20</v>
      </c>
      <c r="J10" t="s">
        <v>18</v>
      </c>
    </row>
    <row r="11" spans="1:10" x14ac:dyDescent="0.3">
      <c r="A11" t="s">
        <v>23</v>
      </c>
      <c r="B11" t="s">
        <v>19</v>
      </c>
      <c r="C11" t="s">
        <v>11</v>
      </c>
      <c r="D11" s="1">
        <v>45360</v>
      </c>
      <c r="E11">
        <v>7</v>
      </c>
      <c r="F11" s="2">
        <v>53.17</v>
      </c>
      <c r="G11" s="3">
        <v>372.19</v>
      </c>
      <c r="H11">
        <v>92</v>
      </c>
      <c r="I11" t="s">
        <v>17</v>
      </c>
      <c r="J11" t="s">
        <v>18</v>
      </c>
    </row>
    <row r="12" spans="1:10" x14ac:dyDescent="0.3">
      <c r="A12" t="s">
        <v>23</v>
      </c>
      <c r="B12" t="s">
        <v>3</v>
      </c>
      <c r="C12" t="s">
        <v>15</v>
      </c>
      <c r="D12" s="1">
        <v>45483</v>
      </c>
      <c r="E12">
        <v>17</v>
      </c>
      <c r="F12" s="2">
        <v>3.65</v>
      </c>
      <c r="G12" s="3">
        <v>62.05</v>
      </c>
      <c r="H12">
        <v>60</v>
      </c>
      <c r="I12" t="s">
        <v>17</v>
      </c>
      <c r="J12" t="s">
        <v>18</v>
      </c>
    </row>
    <row r="13" spans="1:10" x14ac:dyDescent="0.3">
      <c r="A13" t="s">
        <v>10</v>
      </c>
      <c r="B13" t="s">
        <v>3</v>
      </c>
      <c r="C13" t="s">
        <v>15</v>
      </c>
      <c r="D13" s="1">
        <v>45498</v>
      </c>
      <c r="E13">
        <v>3</v>
      </c>
      <c r="F13" s="2">
        <v>61.02</v>
      </c>
      <c r="G13" s="3">
        <v>183.06</v>
      </c>
      <c r="H13">
        <v>54</v>
      </c>
      <c r="I13" t="s">
        <v>17</v>
      </c>
      <c r="J13" t="s">
        <v>18</v>
      </c>
    </row>
    <row r="14" spans="1:10" x14ac:dyDescent="0.3">
      <c r="A14" t="s">
        <v>10</v>
      </c>
      <c r="B14" t="s">
        <v>16</v>
      </c>
      <c r="C14" t="s">
        <v>15</v>
      </c>
      <c r="D14" s="1">
        <v>45555</v>
      </c>
      <c r="E14">
        <v>43</v>
      </c>
      <c r="F14" s="2">
        <v>28.09</v>
      </c>
      <c r="G14" s="3">
        <v>1207.8699999999999</v>
      </c>
      <c r="H14">
        <v>1</v>
      </c>
      <c r="I14" t="s">
        <v>20</v>
      </c>
      <c r="J14" t="s">
        <v>18</v>
      </c>
    </row>
    <row r="15" spans="1:10" x14ac:dyDescent="0.3">
      <c r="A15" t="s">
        <v>10</v>
      </c>
      <c r="B15" t="s">
        <v>19</v>
      </c>
      <c r="C15" t="s">
        <v>22</v>
      </c>
      <c r="D15" s="1">
        <v>45914</v>
      </c>
      <c r="E15">
        <v>20</v>
      </c>
      <c r="F15" s="2">
        <v>28.4</v>
      </c>
      <c r="G15" s="3">
        <v>568</v>
      </c>
      <c r="H15">
        <v>60</v>
      </c>
      <c r="I15" t="s">
        <v>20</v>
      </c>
      <c r="J15" t="s">
        <v>18</v>
      </c>
    </row>
    <row r="16" spans="1:10" x14ac:dyDescent="0.3">
      <c r="B16" t="s">
        <v>16</v>
      </c>
      <c r="C16" t="s">
        <v>22</v>
      </c>
      <c r="D16" s="1">
        <v>45828</v>
      </c>
      <c r="E16">
        <v>16</v>
      </c>
      <c r="F16" s="2">
        <v>82.29</v>
      </c>
      <c r="G16" s="3">
        <v>1316.64</v>
      </c>
      <c r="H16">
        <v>31</v>
      </c>
      <c r="I16" t="s">
        <v>12</v>
      </c>
      <c r="J16" t="s">
        <v>13</v>
      </c>
    </row>
    <row r="17" spans="1:10" x14ac:dyDescent="0.3">
      <c r="A17" t="s">
        <v>25</v>
      </c>
      <c r="B17" t="s">
        <v>19</v>
      </c>
      <c r="C17" t="s">
        <v>11</v>
      </c>
      <c r="D17" s="1">
        <v>46017</v>
      </c>
      <c r="E17">
        <v>3</v>
      </c>
      <c r="F17" s="2">
        <v>87.37</v>
      </c>
      <c r="G17" s="3">
        <v>262.11</v>
      </c>
      <c r="H17">
        <v>17</v>
      </c>
      <c r="I17" t="s">
        <v>20</v>
      </c>
      <c r="J17" t="s">
        <v>18</v>
      </c>
    </row>
    <row r="18" spans="1:10" x14ac:dyDescent="0.3">
      <c r="A18" t="s">
        <v>10</v>
      </c>
      <c r="B18" t="s">
        <v>26</v>
      </c>
      <c r="C18" t="s">
        <v>15</v>
      </c>
      <c r="D18" s="1">
        <v>45785</v>
      </c>
      <c r="E18">
        <v>13</v>
      </c>
      <c r="F18" s="2">
        <v>60.27</v>
      </c>
      <c r="G18" s="3">
        <v>783.51</v>
      </c>
      <c r="H18">
        <v>48</v>
      </c>
      <c r="I18" t="s">
        <v>17</v>
      </c>
      <c r="J18" t="s">
        <v>18</v>
      </c>
    </row>
    <row r="19" spans="1:10" x14ac:dyDescent="0.3">
      <c r="B19" t="s">
        <v>26</v>
      </c>
      <c r="C19" t="s">
        <v>22</v>
      </c>
      <c r="D19" s="1">
        <v>45644</v>
      </c>
      <c r="E19">
        <v>6</v>
      </c>
      <c r="F19" s="2">
        <v>65.88</v>
      </c>
      <c r="G19" s="3">
        <v>395.28</v>
      </c>
      <c r="H19">
        <v>83</v>
      </c>
      <c r="I19" t="s">
        <v>12</v>
      </c>
      <c r="J19" t="s">
        <v>13</v>
      </c>
    </row>
    <row r="20" spans="1:10" x14ac:dyDescent="0.3">
      <c r="A20" t="s">
        <v>25</v>
      </c>
      <c r="B20" t="s">
        <v>21</v>
      </c>
      <c r="C20" t="s">
        <v>15</v>
      </c>
      <c r="D20" s="1">
        <v>45564</v>
      </c>
      <c r="E20">
        <v>27</v>
      </c>
      <c r="F20" s="2">
        <v>22.34</v>
      </c>
      <c r="G20" s="3">
        <v>603.17999999999995</v>
      </c>
      <c r="H20">
        <v>60</v>
      </c>
      <c r="I20" t="s">
        <v>12</v>
      </c>
      <c r="J20" t="s">
        <v>13</v>
      </c>
    </row>
    <row r="21" spans="1:10" x14ac:dyDescent="0.3">
      <c r="A21" t="s">
        <v>23</v>
      </c>
      <c r="B21" t="s">
        <v>21</v>
      </c>
      <c r="C21" t="s">
        <v>15</v>
      </c>
      <c r="D21" s="1">
        <v>45973</v>
      </c>
      <c r="E21">
        <v>47</v>
      </c>
      <c r="F21" s="2">
        <v>12.74</v>
      </c>
      <c r="G21" s="3">
        <v>598.78</v>
      </c>
      <c r="H21">
        <v>54</v>
      </c>
      <c r="I21" t="s">
        <v>20</v>
      </c>
      <c r="J21" t="s">
        <v>13</v>
      </c>
    </row>
    <row r="22" spans="1:10" x14ac:dyDescent="0.3">
      <c r="A22" t="s">
        <v>10</v>
      </c>
      <c r="B22" t="s">
        <v>24</v>
      </c>
      <c r="C22" t="s">
        <v>15</v>
      </c>
      <c r="D22" s="1">
        <v>45446</v>
      </c>
      <c r="E22">
        <v>3</v>
      </c>
      <c r="F22" s="2">
        <v>57.45</v>
      </c>
      <c r="G22" s="3">
        <v>172.35</v>
      </c>
      <c r="H22">
        <v>92</v>
      </c>
      <c r="I22" t="s">
        <v>20</v>
      </c>
      <c r="J22" t="s">
        <v>13</v>
      </c>
    </row>
    <row r="23" spans="1:10" x14ac:dyDescent="0.3">
      <c r="A23" t="s">
        <v>25</v>
      </c>
      <c r="B23" t="s">
        <v>19</v>
      </c>
      <c r="C23" t="s">
        <v>11</v>
      </c>
      <c r="D23" s="1">
        <v>45425</v>
      </c>
      <c r="E23">
        <v>7</v>
      </c>
      <c r="F23" s="2">
        <v>8.5399999999999991</v>
      </c>
      <c r="G23" s="3">
        <v>59.78</v>
      </c>
      <c r="H23">
        <v>1</v>
      </c>
      <c r="I23" t="s">
        <v>20</v>
      </c>
      <c r="J23" t="s">
        <v>13</v>
      </c>
    </row>
    <row r="24" spans="1:10" x14ac:dyDescent="0.3">
      <c r="A24" t="s">
        <v>25</v>
      </c>
      <c r="B24" t="s">
        <v>3</v>
      </c>
      <c r="C24" t="s">
        <v>15</v>
      </c>
      <c r="D24" s="1">
        <v>45486</v>
      </c>
      <c r="E24">
        <v>33</v>
      </c>
      <c r="F24" s="2">
        <v>64.010000000000005</v>
      </c>
      <c r="G24" s="3">
        <v>2112.33</v>
      </c>
      <c r="H24">
        <v>78</v>
      </c>
      <c r="I24" t="s">
        <v>20</v>
      </c>
      <c r="J24" t="s">
        <v>13</v>
      </c>
    </row>
    <row r="25" spans="1:10" x14ac:dyDescent="0.3">
      <c r="A25" t="s">
        <v>23</v>
      </c>
      <c r="B25" t="s">
        <v>16</v>
      </c>
      <c r="C25" t="s">
        <v>11</v>
      </c>
      <c r="D25" s="1">
        <v>45770</v>
      </c>
      <c r="E25">
        <v>15</v>
      </c>
      <c r="F25" s="2">
        <v>91.88</v>
      </c>
      <c r="G25" s="3">
        <v>1378.2</v>
      </c>
      <c r="H25">
        <v>78</v>
      </c>
      <c r="I25" t="s">
        <v>20</v>
      </c>
      <c r="J25" t="s">
        <v>13</v>
      </c>
    </row>
    <row r="26" spans="1:10" x14ac:dyDescent="0.3">
      <c r="A26" t="s">
        <v>25</v>
      </c>
      <c r="B26" t="s">
        <v>26</v>
      </c>
      <c r="C26" t="s">
        <v>22</v>
      </c>
      <c r="D26" s="1">
        <v>45781</v>
      </c>
      <c r="E26">
        <v>22</v>
      </c>
      <c r="F26" s="2">
        <v>61.32</v>
      </c>
      <c r="G26" s="3">
        <v>1349.04</v>
      </c>
      <c r="H26">
        <v>54</v>
      </c>
      <c r="I26" t="s">
        <v>20</v>
      </c>
      <c r="J26" t="s">
        <v>13</v>
      </c>
    </row>
    <row r="27" spans="1:10" x14ac:dyDescent="0.3">
      <c r="B27" t="s">
        <v>24</v>
      </c>
      <c r="C27" t="s">
        <v>15</v>
      </c>
      <c r="D27" s="1">
        <v>45941</v>
      </c>
      <c r="E27">
        <v>30</v>
      </c>
      <c r="F27" s="2">
        <v>89.39</v>
      </c>
      <c r="G27" s="3">
        <v>2681.7</v>
      </c>
      <c r="H27">
        <v>76</v>
      </c>
      <c r="I27" t="s">
        <v>20</v>
      </c>
      <c r="J27" t="s">
        <v>13</v>
      </c>
    </row>
    <row r="28" spans="1:10" x14ac:dyDescent="0.3">
      <c r="A28" t="s">
        <v>23</v>
      </c>
      <c r="B28" t="s">
        <v>24</v>
      </c>
      <c r="C28" t="s">
        <v>11</v>
      </c>
      <c r="D28" s="1">
        <v>45756</v>
      </c>
      <c r="E28">
        <v>2</v>
      </c>
      <c r="F28" s="2">
        <v>17.2</v>
      </c>
      <c r="G28" s="3">
        <v>34.4</v>
      </c>
      <c r="H28">
        <v>34</v>
      </c>
      <c r="I28" t="s">
        <v>17</v>
      </c>
      <c r="J28" t="s">
        <v>18</v>
      </c>
    </row>
    <row r="29" spans="1:10" x14ac:dyDescent="0.3">
      <c r="A29" t="s">
        <v>10</v>
      </c>
      <c r="B29" t="s">
        <v>26</v>
      </c>
      <c r="C29" t="s">
        <v>22</v>
      </c>
      <c r="D29" s="1">
        <v>45827</v>
      </c>
      <c r="E29">
        <v>43</v>
      </c>
      <c r="F29" s="2">
        <v>8.65</v>
      </c>
      <c r="G29" s="3">
        <v>371.95</v>
      </c>
      <c r="H29">
        <v>0</v>
      </c>
      <c r="I29" t="s">
        <v>12</v>
      </c>
      <c r="J29" t="s">
        <v>18</v>
      </c>
    </row>
    <row r="30" spans="1:10" x14ac:dyDescent="0.3">
      <c r="A30" t="s">
        <v>23</v>
      </c>
      <c r="B30" t="s">
        <v>26</v>
      </c>
      <c r="C30" t="s">
        <v>11</v>
      </c>
      <c r="D30" s="1">
        <v>45889</v>
      </c>
      <c r="E30">
        <v>2</v>
      </c>
      <c r="F30" s="2">
        <v>75.94</v>
      </c>
      <c r="G30" s="3">
        <v>151.88</v>
      </c>
      <c r="H30">
        <v>0</v>
      </c>
      <c r="I30" t="s">
        <v>17</v>
      </c>
      <c r="J30" t="s">
        <v>13</v>
      </c>
    </row>
    <row r="31" spans="1:10" x14ac:dyDescent="0.3">
      <c r="A31" t="s">
        <v>23</v>
      </c>
      <c r="B31" t="s">
        <v>16</v>
      </c>
      <c r="C31" t="s">
        <v>15</v>
      </c>
      <c r="D31" s="1">
        <v>45826</v>
      </c>
      <c r="E31">
        <v>4</v>
      </c>
      <c r="F31" s="2">
        <v>40.89</v>
      </c>
      <c r="G31" s="3">
        <v>163.56</v>
      </c>
      <c r="H31">
        <v>43</v>
      </c>
      <c r="I31" t="s">
        <v>12</v>
      </c>
      <c r="J31" t="s">
        <v>13</v>
      </c>
    </row>
    <row r="32" spans="1:10" x14ac:dyDescent="0.3">
      <c r="A32" t="s">
        <v>23</v>
      </c>
      <c r="B32" t="s">
        <v>19</v>
      </c>
      <c r="C32" t="s">
        <v>15</v>
      </c>
      <c r="D32" s="1">
        <v>45899</v>
      </c>
      <c r="E32">
        <v>44</v>
      </c>
      <c r="F32" s="2">
        <v>23</v>
      </c>
      <c r="G32" s="3">
        <v>1012</v>
      </c>
      <c r="H32">
        <v>24</v>
      </c>
      <c r="I32" t="s">
        <v>12</v>
      </c>
      <c r="J32" t="s">
        <v>18</v>
      </c>
    </row>
    <row r="33" spans="1:10" x14ac:dyDescent="0.3">
      <c r="A33" t="s">
        <v>14</v>
      </c>
      <c r="B33" t="s">
        <v>21</v>
      </c>
      <c r="C33" t="s">
        <v>11</v>
      </c>
      <c r="D33" s="1">
        <v>45949</v>
      </c>
      <c r="E33">
        <v>23</v>
      </c>
      <c r="F33" s="2">
        <v>68.31</v>
      </c>
      <c r="G33" s="3">
        <v>1571.13</v>
      </c>
      <c r="H33">
        <v>75</v>
      </c>
      <c r="I33" t="s">
        <v>17</v>
      </c>
      <c r="J33" t="s">
        <v>13</v>
      </c>
    </row>
    <row r="34" spans="1:10" x14ac:dyDescent="0.3">
      <c r="A34" t="s">
        <v>10</v>
      </c>
      <c r="B34" t="s">
        <v>3</v>
      </c>
      <c r="C34" t="s">
        <v>15</v>
      </c>
      <c r="D34" s="1">
        <v>45602</v>
      </c>
      <c r="E34">
        <v>40</v>
      </c>
      <c r="F34" s="2">
        <v>30.61</v>
      </c>
      <c r="G34" s="3">
        <v>1224.4000000000001</v>
      </c>
      <c r="H34">
        <v>28</v>
      </c>
      <c r="I34" t="s">
        <v>20</v>
      </c>
      <c r="J34" t="s">
        <v>18</v>
      </c>
    </row>
    <row r="35" spans="1:10" x14ac:dyDescent="0.3">
      <c r="A35" t="s">
        <v>10</v>
      </c>
      <c r="B35" t="s">
        <v>26</v>
      </c>
      <c r="C35" t="s">
        <v>11</v>
      </c>
      <c r="D35" s="1">
        <v>45895</v>
      </c>
      <c r="E35">
        <v>26</v>
      </c>
      <c r="F35" s="2">
        <v>82.11</v>
      </c>
      <c r="G35" s="3">
        <v>2134.86</v>
      </c>
      <c r="H35">
        <v>99</v>
      </c>
      <c r="I35" t="s">
        <v>20</v>
      </c>
      <c r="J35" t="s">
        <v>13</v>
      </c>
    </row>
    <row r="36" spans="1:10" x14ac:dyDescent="0.3">
      <c r="A36" t="s">
        <v>10</v>
      </c>
      <c r="B36" t="s">
        <v>16</v>
      </c>
      <c r="C36" t="s">
        <v>11</v>
      </c>
      <c r="D36" s="1">
        <v>45344</v>
      </c>
      <c r="E36">
        <v>17</v>
      </c>
      <c r="F36" s="2">
        <v>52.58</v>
      </c>
      <c r="G36" s="3">
        <v>893.86</v>
      </c>
      <c r="H36">
        <v>9</v>
      </c>
      <c r="I36" t="s">
        <v>20</v>
      </c>
      <c r="J36" t="s">
        <v>13</v>
      </c>
    </row>
    <row r="37" spans="1:10" x14ac:dyDescent="0.3">
      <c r="A37" t="s">
        <v>14</v>
      </c>
      <c r="B37" t="s">
        <v>19</v>
      </c>
      <c r="C37" t="s">
        <v>11</v>
      </c>
      <c r="D37" s="1">
        <v>45512</v>
      </c>
      <c r="E37">
        <v>24</v>
      </c>
      <c r="F37" s="2">
        <v>23.12</v>
      </c>
      <c r="G37" s="3">
        <v>554.88</v>
      </c>
      <c r="H37">
        <v>45</v>
      </c>
      <c r="I37" t="s">
        <v>12</v>
      </c>
      <c r="J37" t="s">
        <v>13</v>
      </c>
    </row>
    <row r="38" spans="1:10" x14ac:dyDescent="0.3">
      <c r="A38" t="s">
        <v>10</v>
      </c>
      <c r="B38" t="s">
        <v>19</v>
      </c>
      <c r="C38" t="s">
        <v>11</v>
      </c>
      <c r="D38" s="1">
        <v>45330</v>
      </c>
      <c r="E38">
        <v>18</v>
      </c>
      <c r="F38" s="2">
        <v>36.4</v>
      </c>
      <c r="G38" s="3">
        <v>655.20000000000005</v>
      </c>
      <c r="H38">
        <v>46</v>
      </c>
      <c r="I38" t="s">
        <v>17</v>
      </c>
      <c r="J38" t="s">
        <v>13</v>
      </c>
    </row>
    <row r="39" spans="1:10" x14ac:dyDescent="0.3">
      <c r="A39" t="s">
        <v>25</v>
      </c>
      <c r="B39" t="s">
        <v>21</v>
      </c>
      <c r="C39" t="s">
        <v>11</v>
      </c>
      <c r="D39" s="1">
        <v>45789</v>
      </c>
      <c r="E39">
        <v>18</v>
      </c>
      <c r="F39" s="2">
        <v>7.48</v>
      </c>
      <c r="G39" s="3">
        <v>134.63999999999999</v>
      </c>
      <c r="H39">
        <v>89</v>
      </c>
      <c r="I39" t="s">
        <v>20</v>
      </c>
      <c r="J39" t="s">
        <v>18</v>
      </c>
    </row>
    <row r="40" spans="1:10" x14ac:dyDescent="0.3">
      <c r="B40" t="s">
        <v>24</v>
      </c>
      <c r="C40" t="s">
        <v>15</v>
      </c>
      <c r="D40" s="1">
        <v>45757</v>
      </c>
      <c r="E40">
        <v>26</v>
      </c>
      <c r="F40" s="2">
        <v>16.510000000000002</v>
      </c>
      <c r="G40" s="3">
        <v>429.26</v>
      </c>
      <c r="H40">
        <v>96</v>
      </c>
      <c r="I40" t="s">
        <v>12</v>
      </c>
      <c r="J40" t="s">
        <v>13</v>
      </c>
    </row>
    <row r="41" spans="1:10" x14ac:dyDescent="0.3">
      <c r="A41" t="s">
        <v>14</v>
      </c>
      <c r="B41" t="s">
        <v>26</v>
      </c>
      <c r="C41" t="s">
        <v>22</v>
      </c>
      <c r="D41" s="1">
        <v>45960</v>
      </c>
      <c r="E41">
        <v>42</v>
      </c>
      <c r="F41" s="2">
        <v>53.03</v>
      </c>
      <c r="G41" s="3">
        <v>2227.2600000000002</v>
      </c>
      <c r="H41">
        <v>33</v>
      </c>
      <c r="I41" t="s">
        <v>12</v>
      </c>
      <c r="J41" t="s">
        <v>13</v>
      </c>
    </row>
    <row r="42" spans="1:10" x14ac:dyDescent="0.3">
      <c r="A42" t="s">
        <v>23</v>
      </c>
      <c r="B42" t="s">
        <v>16</v>
      </c>
      <c r="C42" t="s">
        <v>11</v>
      </c>
      <c r="D42" s="1">
        <v>45767</v>
      </c>
      <c r="E42">
        <v>30</v>
      </c>
      <c r="F42" s="2">
        <v>31.55</v>
      </c>
      <c r="G42" s="3">
        <v>946.5</v>
      </c>
      <c r="H42">
        <v>9</v>
      </c>
      <c r="I42" t="s">
        <v>17</v>
      </c>
      <c r="J42" t="s">
        <v>18</v>
      </c>
    </row>
    <row r="43" spans="1:10" x14ac:dyDescent="0.3">
      <c r="A43" t="s">
        <v>10</v>
      </c>
      <c r="B43" t="s">
        <v>21</v>
      </c>
      <c r="C43" t="s">
        <v>22</v>
      </c>
      <c r="D43" s="1">
        <v>45357</v>
      </c>
      <c r="E43">
        <v>18</v>
      </c>
      <c r="F43" s="2">
        <v>68.28</v>
      </c>
      <c r="G43" s="3">
        <v>1229.04</v>
      </c>
      <c r="H43">
        <v>54</v>
      </c>
      <c r="I43" t="s">
        <v>20</v>
      </c>
      <c r="J43" t="s">
        <v>13</v>
      </c>
    </row>
    <row r="44" spans="1:10" x14ac:dyDescent="0.3">
      <c r="A44" t="s">
        <v>10</v>
      </c>
      <c r="B44" t="s">
        <v>19</v>
      </c>
      <c r="C44" t="s">
        <v>22</v>
      </c>
      <c r="D44" s="1">
        <v>45415</v>
      </c>
      <c r="E44">
        <v>32</v>
      </c>
      <c r="F44" s="2">
        <v>11.39</v>
      </c>
      <c r="G44" s="3">
        <v>364.48</v>
      </c>
      <c r="H44">
        <v>75</v>
      </c>
      <c r="I44" t="s">
        <v>17</v>
      </c>
      <c r="J44" t="s">
        <v>13</v>
      </c>
    </row>
    <row r="45" spans="1:10" x14ac:dyDescent="0.3">
      <c r="A45" t="s">
        <v>14</v>
      </c>
      <c r="B45" t="s">
        <v>26</v>
      </c>
      <c r="C45" t="s">
        <v>22</v>
      </c>
      <c r="D45" s="1">
        <v>45720</v>
      </c>
      <c r="E45">
        <v>20</v>
      </c>
      <c r="F45" s="2">
        <v>4.3499999999999996</v>
      </c>
      <c r="G45" s="3">
        <v>87</v>
      </c>
      <c r="H45">
        <v>26</v>
      </c>
      <c r="I45" t="s">
        <v>20</v>
      </c>
      <c r="J45" t="s">
        <v>13</v>
      </c>
    </row>
    <row r="46" spans="1:10" x14ac:dyDescent="0.3">
      <c r="A46" t="s">
        <v>23</v>
      </c>
      <c r="B46" t="s">
        <v>26</v>
      </c>
      <c r="C46" t="s">
        <v>22</v>
      </c>
      <c r="D46" s="1">
        <v>45614</v>
      </c>
      <c r="E46">
        <v>3</v>
      </c>
      <c r="F46" s="2">
        <v>17.38</v>
      </c>
      <c r="G46" s="3">
        <v>52.14</v>
      </c>
      <c r="H46">
        <v>37</v>
      </c>
      <c r="I46" t="s">
        <v>12</v>
      </c>
      <c r="J46" t="s">
        <v>13</v>
      </c>
    </row>
    <row r="47" spans="1:10" x14ac:dyDescent="0.3">
      <c r="A47" t="s">
        <v>25</v>
      </c>
      <c r="B47" t="s">
        <v>26</v>
      </c>
      <c r="C47" t="s">
        <v>11</v>
      </c>
      <c r="D47" s="1">
        <v>45669</v>
      </c>
      <c r="E47">
        <v>49</v>
      </c>
      <c r="F47" s="2">
        <v>95.32</v>
      </c>
      <c r="G47" s="3">
        <v>4670.68</v>
      </c>
      <c r="H47">
        <v>94</v>
      </c>
      <c r="I47" t="s">
        <v>20</v>
      </c>
      <c r="J47" t="s">
        <v>13</v>
      </c>
    </row>
    <row r="48" spans="1:10" x14ac:dyDescent="0.3">
      <c r="A48" t="s">
        <v>23</v>
      </c>
      <c r="B48" t="s">
        <v>26</v>
      </c>
      <c r="C48" t="s">
        <v>22</v>
      </c>
      <c r="D48" s="1">
        <v>45777</v>
      </c>
      <c r="E48">
        <v>2</v>
      </c>
      <c r="F48" s="2">
        <v>12.52</v>
      </c>
      <c r="G48" s="3">
        <v>25.04</v>
      </c>
      <c r="H48">
        <v>54</v>
      </c>
      <c r="I48" t="s">
        <v>20</v>
      </c>
      <c r="J48" t="s">
        <v>13</v>
      </c>
    </row>
    <row r="49" spans="1:10" x14ac:dyDescent="0.3">
      <c r="A49" t="s">
        <v>25</v>
      </c>
      <c r="B49" t="s">
        <v>24</v>
      </c>
      <c r="C49" t="s">
        <v>15</v>
      </c>
      <c r="D49" s="1">
        <v>45469</v>
      </c>
      <c r="E49">
        <v>17</v>
      </c>
      <c r="F49" s="2">
        <v>52.85</v>
      </c>
      <c r="G49" s="3">
        <v>898.45</v>
      </c>
      <c r="H49">
        <v>10</v>
      </c>
      <c r="I49" t="s">
        <v>17</v>
      </c>
      <c r="J49" t="s">
        <v>13</v>
      </c>
    </row>
    <row r="50" spans="1:10" x14ac:dyDescent="0.3">
      <c r="A50" t="s">
        <v>10</v>
      </c>
      <c r="B50" t="s">
        <v>26</v>
      </c>
      <c r="C50" t="s">
        <v>11</v>
      </c>
      <c r="D50" s="1">
        <v>45650</v>
      </c>
      <c r="E50">
        <v>43</v>
      </c>
      <c r="F50" s="2">
        <v>24.7</v>
      </c>
      <c r="G50" s="3">
        <v>1062.0999999999999</v>
      </c>
      <c r="H50">
        <v>75</v>
      </c>
      <c r="I50" t="s">
        <v>12</v>
      </c>
      <c r="J50" t="s">
        <v>18</v>
      </c>
    </row>
    <row r="51" spans="1:10" x14ac:dyDescent="0.3">
      <c r="A51" t="s">
        <v>10</v>
      </c>
      <c r="B51" t="s">
        <v>16</v>
      </c>
      <c r="C51" t="s">
        <v>15</v>
      </c>
      <c r="D51" s="1">
        <v>45375</v>
      </c>
      <c r="E51">
        <v>47</v>
      </c>
      <c r="F51" s="2">
        <v>8.41</v>
      </c>
      <c r="G51" s="3">
        <v>395.27</v>
      </c>
      <c r="H51">
        <v>29</v>
      </c>
      <c r="I51" t="s">
        <v>17</v>
      </c>
      <c r="J51" t="s">
        <v>18</v>
      </c>
    </row>
    <row r="52" spans="1:10" x14ac:dyDescent="0.3">
      <c r="A52" t="s">
        <v>14</v>
      </c>
      <c r="B52" t="s">
        <v>26</v>
      </c>
      <c r="C52" t="s">
        <v>11</v>
      </c>
      <c r="D52" s="1">
        <v>45363</v>
      </c>
      <c r="E52">
        <v>36</v>
      </c>
      <c r="F52" s="2">
        <v>38.69</v>
      </c>
      <c r="G52" s="3">
        <v>1392.84</v>
      </c>
      <c r="H52">
        <v>36</v>
      </c>
      <c r="I52" t="s">
        <v>17</v>
      </c>
      <c r="J52" t="s">
        <v>18</v>
      </c>
    </row>
    <row r="53" spans="1:10" x14ac:dyDescent="0.3">
      <c r="A53" t="s">
        <v>23</v>
      </c>
      <c r="B53" t="s">
        <v>16</v>
      </c>
      <c r="C53" t="s">
        <v>15</v>
      </c>
      <c r="D53" s="1">
        <v>45954</v>
      </c>
      <c r="E53">
        <v>45</v>
      </c>
      <c r="F53" s="2">
        <v>27.89</v>
      </c>
      <c r="G53" s="3">
        <v>1255.05</v>
      </c>
      <c r="H53">
        <v>66</v>
      </c>
      <c r="I53" t="s">
        <v>20</v>
      </c>
      <c r="J53" t="s">
        <v>18</v>
      </c>
    </row>
    <row r="54" spans="1:10" x14ac:dyDescent="0.3">
      <c r="A54" t="s">
        <v>23</v>
      </c>
      <c r="B54" t="s">
        <v>21</v>
      </c>
      <c r="C54" t="s">
        <v>11</v>
      </c>
      <c r="D54" s="1">
        <v>45570</v>
      </c>
      <c r="E54">
        <v>37</v>
      </c>
      <c r="F54" s="2">
        <v>86.66</v>
      </c>
      <c r="G54" s="3">
        <v>3206.42</v>
      </c>
      <c r="H54">
        <v>98</v>
      </c>
      <c r="I54" t="s">
        <v>20</v>
      </c>
      <c r="J54" t="s">
        <v>18</v>
      </c>
    </row>
    <row r="55" spans="1:10" x14ac:dyDescent="0.3">
      <c r="A55" t="s">
        <v>23</v>
      </c>
      <c r="B55" t="s">
        <v>24</v>
      </c>
      <c r="C55" t="s">
        <v>22</v>
      </c>
      <c r="D55" s="1">
        <v>45831</v>
      </c>
      <c r="E55">
        <v>22</v>
      </c>
      <c r="F55" s="2">
        <v>52.07</v>
      </c>
      <c r="G55" s="3">
        <v>1145.54</v>
      </c>
      <c r="H55">
        <v>55</v>
      </c>
      <c r="I55" t="s">
        <v>20</v>
      </c>
      <c r="J55" t="s">
        <v>18</v>
      </c>
    </row>
    <row r="56" spans="1:10" x14ac:dyDescent="0.3">
      <c r="A56" t="s">
        <v>23</v>
      </c>
      <c r="B56" t="s">
        <v>24</v>
      </c>
      <c r="C56" t="s">
        <v>15</v>
      </c>
      <c r="D56" s="1">
        <v>45307</v>
      </c>
      <c r="E56">
        <v>20</v>
      </c>
      <c r="F56" s="2">
        <v>36.229999999999997</v>
      </c>
      <c r="G56" s="3">
        <v>724.6</v>
      </c>
      <c r="H56">
        <v>15</v>
      </c>
      <c r="I56" t="s">
        <v>20</v>
      </c>
      <c r="J56" t="s">
        <v>13</v>
      </c>
    </row>
    <row r="57" spans="1:10" x14ac:dyDescent="0.3">
      <c r="A57" t="s">
        <v>10</v>
      </c>
      <c r="B57" t="s">
        <v>21</v>
      </c>
      <c r="C57" t="s">
        <v>11</v>
      </c>
      <c r="D57" s="1">
        <v>45416</v>
      </c>
      <c r="E57">
        <v>47</v>
      </c>
      <c r="F57" s="2">
        <v>61.88</v>
      </c>
      <c r="G57" s="3">
        <v>2908.36</v>
      </c>
      <c r="H57">
        <v>87</v>
      </c>
      <c r="I57" t="s">
        <v>20</v>
      </c>
      <c r="J57" t="s">
        <v>13</v>
      </c>
    </row>
    <row r="58" spans="1:10" x14ac:dyDescent="0.3">
      <c r="A58" t="s">
        <v>23</v>
      </c>
      <c r="B58" t="s">
        <v>3</v>
      </c>
      <c r="C58" t="s">
        <v>15</v>
      </c>
      <c r="D58" s="1">
        <v>45712</v>
      </c>
      <c r="E58">
        <v>34</v>
      </c>
      <c r="F58" s="2">
        <v>7.38</v>
      </c>
      <c r="G58" s="3">
        <v>250.92</v>
      </c>
      <c r="H58">
        <v>73</v>
      </c>
      <c r="I58" t="s">
        <v>20</v>
      </c>
      <c r="J58" t="s">
        <v>13</v>
      </c>
    </row>
    <row r="59" spans="1:10" x14ac:dyDescent="0.3">
      <c r="A59" t="s">
        <v>25</v>
      </c>
      <c r="B59" t="s">
        <v>26</v>
      </c>
      <c r="C59" t="s">
        <v>15</v>
      </c>
      <c r="D59" s="1">
        <v>45462</v>
      </c>
      <c r="E59">
        <v>36</v>
      </c>
      <c r="F59" s="2">
        <v>21.17</v>
      </c>
      <c r="G59" s="3">
        <v>762.12</v>
      </c>
      <c r="H59">
        <v>21</v>
      </c>
      <c r="I59" t="s">
        <v>17</v>
      </c>
      <c r="J59" t="s">
        <v>13</v>
      </c>
    </row>
    <row r="60" spans="1:10" x14ac:dyDescent="0.3">
      <c r="A60" t="s">
        <v>25</v>
      </c>
      <c r="B60" t="s">
        <v>26</v>
      </c>
      <c r="C60" t="s">
        <v>11</v>
      </c>
      <c r="D60" s="1">
        <v>45632</v>
      </c>
      <c r="E60">
        <v>16</v>
      </c>
      <c r="F60" s="2">
        <v>9.25</v>
      </c>
      <c r="G60" s="3">
        <v>148</v>
      </c>
      <c r="H60">
        <v>18</v>
      </c>
      <c r="I60" t="s">
        <v>17</v>
      </c>
      <c r="J60" t="s">
        <v>13</v>
      </c>
    </row>
    <row r="61" spans="1:10" x14ac:dyDescent="0.3">
      <c r="A61" t="s">
        <v>10</v>
      </c>
      <c r="B61" t="s">
        <v>16</v>
      </c>
      <c r="C61" t="s">
        <v>11</v>
      </c>
      <c r="D61" s="1">
        <v>45552</v>
      </c>
      <c r="E61">
        <v>32</v>
      </c>
      <c r="F61" s="2">
        <v>61.16</v>
      </c>
      <c r="G61" s="3">
        <v>1957.12</v>
      </c>
      <c r="H61">
        <v>33</v>
      </c>
      <c r="I61" t="s">
        <v>12</v>
      </c>
      <c r="J61" t="s">
        <v>13</v>
      </c>
    </row>
    <row r="62" spans="1:10" x14ac:dyDescent="0.3">
      <c r="A62" t="s">
        <v>14</v>
      </c>
      <c r="B62" t="s">
        <v>21</v>
      </c>
      <c r="C62" t="s">
        <v>11</v>
      </c>
      <c r="D62" s="1">
        <v>45686</v>
      </c>
      <c r="E62">
        <v>18</v>
      </c>
      <c r="F62" s="2">
        <v>14.24</v>
      </c>
      <c r="G62" s="3">
        <v>256.32</v>
      </c>
      <c r="H62">
        <v>1</v>
      </c>
      <c r="I62" t="s">
        <v>12</v>
      </c>
      <c r="J62" t="s">
        <v>18</v>
      </c>
    </row>
    <row r="63" spans="1:10" x14ac:dyDescent="0.3">
      <c r="A63" t="s">
        <v>14</v>
      </c>
      <c r="B63" t="s">
        <v>21</v>
      </c>
      <c r="C63" t="s">
        <v>15</v>
      </c>
      <c r="D63" s="1">
        <v>45597</v>
      </c>
      <c r="E63">
        <v>24</v>
      </c>
      <c r="F63" s="2">
        <v>77.099999999999994</v>
      </c>
      <c r="G63" s="3">
        <v>1850.4</v>
      </c>
      <c r="H63">
        <v>65</v>
      </c>
      <c r="I63" t="s">
        <v>17</v>
      </c>
      <c r="J63" t="s">
        <v>13</v>
      </c>
    </row>
    <row r="64" spans="1:10" x14ac:dyDescent="0.3">
      <c r="A64" t="s">
        <v>23</v>
      </c>
      <c r="B64" t="s">
        <v>21</v>
      </c>
      <c r="C64" t="s">
        <v>11</v>
      </c>
      <c r="D64" s="1">
        <v>45918</v>
      </c>
      <c r="E64">
        <v>48</v>
      </c>
      <c r="F64" s="2">
        <v>71.33</v>
      </c>
      <c r="G64" s="3">
        <v>3423.84</v>
      </c>
      <c r="H64">
        <v>40</v>
      </c>
      <c r="I64" t="s">
        <v>17</v>
      </c>
      <c r="J64" t="s">
        <v>18</v>
      </c>
    </row>
    <row r="65" spans="1:10" x14ac:dyDescent="0.3">
      <c r="A65" t="s">
        <v>14</v>
      </c>
      <c r="B65" t="s">
        <v>19</v>
      </c>
      <c r="C65" t="s">
        <v>11</v>
      </c>
      <c r="D65" s="1">
        <v>45865</v>
      </c>
      <c r="E65">
        <v>19</v>
      </c>
      <c r="F65" s="2">
        <v>31.01</v>
      </c>
      <c r="G65" s="3">
        <v>589.19000000000005</v>
      </c>
      <c r="H65">
        <v>9</v>
      </c>
      <c r="I65" t="s">
        <v>12</v>
      </c>
      <c r="J65" t="s">
        <v>13</v>
      </c>
    </row>
    <row r="66" spans="1:10" x14ac:dyDescent="0.3">
      <c r="A66" t="s">
        <v>10</v>
      </c>
      <c r="B66" t="s">
        <v>3</v>
      </c>
      <c r="C66" t="s">
        <v>11</v>
      </c>
      <c r="D66" s="1">
        <v>45597</v>
      </c>
      <c r="E66">
        <v>33</v>
      </c>
      <c r="F66" s="2">
        <v>89.09</v>
      </c>
      <c r="G66" s="3">
        <v>2939.97</v>
      </c>
      <c r="H66">
        <v>7</v>
      </c>
      <c r="I66" t="s">
        <v>20</v>
      </c>
      <c r="J66" t="s">
        <v>13</v>
      </c>
    </row>
    <row r="67" spans="1:10" x14ac:dyDescent="0.3">
      <c r="A67" t="s">
        <v>14</v>
      </c>
      <c r="B67" t="s">
        <v>21</v>
      </c>
      <c r="C67" t="s">
        <v>22</v>
      </c>
      <c r="D67" s="1">
        <v>45317</v>
      </c>
      <c r="E67">
        <v>25</v>
      </c>
      <c r="F67" s="2">
        <v>35</v>
      </c>
      <c r="G67" s="3">
        <v>875</v>
      </c>
      <c r="H67">
        <v>13</v>
      </c>
      <c r="I67" t="s">
        <v>17</v>
      </c>
      <c r="J67" t="s">
        <v>13</v>
      </c>
    </row>
    <row r="68" spans="1:10" x14ac:dyDescent="0.3">
      <c r="A68" t="s">
        <v>10</v>
      </c>
      <c r="B68" t="s">
        <v>16</v>
      </c>
      <c r="C68" t="s">
        <v>22</v>
      </c>
      <c r="D68" s="1">
        <v>45682</v>
      </c>
      <c r="E68">
        <v>10</v>
      </c>
      <c r="F68" s="2">
        <v>15.68</v>
      </c>
      <c r="G68" s="3">
        <v>156.80000000000001</v>
      </c>
      <c r="H68">
        <v>96</v>
      </c>
      <c r="I68" t="s">
        <v>20</v>
      </c>
      <c r="J68" t="s">
        <v>18</v>
      </c>
    </row>
    <row r="69" spans="1:10" x14ac:dyDescent="0.3">
      <c r="A69" t="s">
        <v>14</v>
      </c>
      <c r="B69" t="s">
        <v>16</v>
      </c>
      <c r="C69" t="s">
        <v>11</v>
      </c>
      <c r="D69" s="1">
        <v>45566</v>
      </c>
      <c r="E69">
        <v>8</v>
      </c>
      <c r="F69" s="2">
        <v>11.08</v>
      </c>
      <c r="G69" s="3">
        <v>88.64</v>
      </c>
      <c r="H69">
        <v>37</v>
      </c>
      <c r="I69" t="s">
        <v>17</v>
      </c>
      <c r="J69" t="s">
        <v>13</v>
      </c>
    </row>
    <row r="70" spans="1:10" x14ac:dyDescent="0.3">
      <c r="A70" t="s">
        <v>25</v>
      </c>
      <c r="B70" t="s">
        <v>16</v>
      </c>
      <c r="C70" t="s">
        <v>15</v>
      </c>
      <c r="D70" s="1">
        <v>45605</v>
      </c>
      <c r="E70">
        <v>44</v>
      </c>
      <c r="F70" s="2">
        <v>33.78</v>
      </c>
      <c r="G70" s="3">
        <v>1486.32</v>
      </c>
      <c r="H70">
        <v>58</v>
      </c>
      <c r="I70" t="s">
        <v>12</v>
      </c>
      <c r="J70" t="s">
        <v>13</v>
      </c>
    </row>
    <row r="71" spans="1:10" x14ac:dyDescent="0.3">
      <c r="A71" t="s">
        <v>25</v>
      </c>
      <c r="B71" t="s">
        <v>3</v>
      </c>
      <c r="C71" t="s">
        <v>22</v>
      </c>
      <c r="D71" s="1">
        <v>45514</v>
      </c>
      <c r="E71">
        <v>13</v>
      </c>
      <c r="F71" s="2">
        <v>15.8</v>
      </c>
      <c r="G71" s="3">
        <v>205.4</v>
      </c>
      <c r="H71">
        <v>72</v>
      </c>
      <c r="I71" t="s">
        <v>17</v>
      </c>
      <c r="J71" t="s">
        <v>18</v>
      </c>
    </row>
    <row r="72" spans="1:10" x14ac:dyDescent="0.3">
      <c r="A72" t="s">
        <v>23</v>
      </c>
      <c r="B72" t="s">
        <v>3</v>
      </c>
      <c r="C72" t="s">
        <v>22</v>
      </c>
      <c r="D72" s="1">
        <v>45850</v>
      </c>
      <c r="E72">
        <v>37</v>
      </c>
      <c r="F72" s="2">
        <v>53.12</v>
      </c>
      <c r="G72" s="3">
        <v>1965.44</v>
      </c>
      <c r="H72">
        <v>15</v>
      </c>
      <c r="I72" t="s">
        <v>12</v>
      </c>
      <c r="J72" t="s">
        <v>13</v>
      </c>
    </row>
    <row r="73" spans="1:10" x14ac:dyDescent="0.3">
      <c r="A73" t="s">
        <v>25</v>
      </c>
      <c r="B73" t="s">
        <v>19</v>
      </c>
      <c r="C73" t="s">
        <v>22</v>
      </c>
      <c r="D73" s="1">
        <v>45940</v>
      </c>
      <c r="E73">
        <v>34</v>
      </c>
      <c r="F73" s="2">
        <v>45.25</v>
      </c>
      <c r="G73" s="3">
        <v>1538.5</v>
      </c>
      <c r="H73">
        <v>93</v>
      </c>
      <c r="I73" t="s">
        <v>20</v>
      </c>
      <c r="J73" t="s">
        <v>13</v>
      </c>
    </row>
    <row r="74" spans="1:10" x14ac:dyDescent="0.3">
      <c r="A74" t="s">
        <v>14</v>
      </c>
      <c r="B74" t="s">
        <v>24</v>
      </c>
      <c r="C74" t="s">
        <v>11</v>
      </c>
      <c r="D74" s="1">
        <v>45534</v>
      </c>
      <c r="E74">
        <v>47</v>
      </c>
      <c r="F74" s="2">
        <v>67.86</v>
      </c>
      <c r="G74" s="3">
        <v>3189.42</v>
      </c>
      <c r="H74">
        <v>70</v>
      </c>
      <c r="I74" t="s">
        <v>12</v>
      </c>
      <c r="J74" t="s">
        <v>18</v>
      </c>
    </row>
    <row r="75" spans="1:10" x14ac:dyDescent="0.3">
      <c r="A75" t="s">
        <v>25</v>
      </c>
      <c r="B75" t="s">
        <v>21</v>
      </c>
      <c r="C75" t="s">
        <v>11</v>
      </c>
      <c r="D75" s="1">
        <v>45403</v>
      </c>
      <c r="E75">
        <v>4</v>
      </c>
      <c r="F75" s="2">
        <v>54.55</v>
      </c>
      <c r="G75" s="3">
        <v>218.2</v>
      </c>
      <c r="H75">
        <v>73</v>
      </c>
      <c r="I75" t="s">
        <v>17</v>
      </c>
      <c r="J75" t="s">
        <v>18</v>
      </c>
    </row>
    <row r="76" spans="1:10" x14ac:dyDescent="0.3">
      <c r="A76" t="s">
        <v>25</v>
      </c>
      <c r="B76" t="s">
        <v>24</v>
      </c>
      <c r="C76" t="s">
        <v>22</v>
      </c>
      <c r="D76" s="1">
        <v>45361</v>
      </c>
      <c r="E76">
        <v>28</v>
      </c>
      <c r="F76" s="2">
        <v>27.06</v>
      </c>
      <c r="G76" s="3">
        <v>757.68</v>
      </c>
      <c r="H76">
        <v>38</v>
      </c>
      <c r="I76" t="s">
        <v>17</v>
      </c>
      <c r="J76" t="s">
        <v>13</v>
      </c>
    </row>
    <row r="77" spans="1:10" x14ac:dyDescent="0.3">
      <c r="A77" t="s">
        <v>14</v>
      </c>
      <c r="B77" t="s">
        <v>26</v>
      </c>
      <c r="C77" t="s">
        <v>11</v>
      </c>
      <c r="D77" s="1">
        <v>45394</v>
      </c>
      <c r="E77">
        <v>45</v>
      </c>
      <c r="F77" s="2">
        <v>28.16</v>
      </c>
      <c r="G77" s="3">
        <v>1267.2</v>
      </c>
      <c r="H77">
        <v>83</v>
      </c>
      <c r="I77" t="s">
        <v>17</v>
      </c>
      <c r="J77" t="s">
        <v>13</v>
      </c>
    </row>
    <row r="78" spans="1:10" x14ac:dyDescent="0.3">
      <c r="B78" t="s">
        <v>3</v>
      </c>
      <c r="C78" t="s">
        <v>22</v>
      </c>
      <c r="D78" s="1">
        <v>45746</v>
      </c>
      <c r="E78">
        <v>21</v>
      </c>
      <c r="F78" s="2">
        <v>43.84</v>
      </c>
      <c r="G78" s="3">
        <v>920.64</v>
      </c>
      <c r="H78">
        <v>59</v>
      </c>
      <c r="I78" t="s">
        <v>12</v>
      </c>
      <c r="J78" t="s">
        <v>18</v>
      </c>
    </row>
    <row r="79" spans="1:10" x14ac:dyDescent="0.3">
      <c r="A79" t="s">
        <v>25</v>
      </c>
      <c r="B79" t="s">
        <v>24</v>
      </c>
      <c r="C79" t="s">
        <v>15</v>
      </c>
      <c r="D79" s="1">
        <v>45762</v>
      </c>
      <c r="E79">
        <v>31</v>
      </c>
      <c r="F79" s="2">
        <v>15.09</v>
      </c>
      <c r="G79" s="3">
        <v>467.79</v>
      </c>
      <c r="H79">
        <v>73</v>
      </c>
      <c r="I79" t="s">
        <v>17</v>
      </c>
      <c r="J79" t="s">
        <v>18</v>
      </c>
    </row>
    <row r="80" spans="1:10" x14ac:dyDescent="0.3">
      <c r="A80" t="s">
        <v>10</v>
      </c>
      <c r="B80" t="s">
        <v>3</v>
      </c>
      <c r="C80" t="s">
        <v>22</v>
      </c>
      <c r="D80" s="1">
        <v>45765</v>
      </c>
      <c r="E80">
        <v>1</v>
      </c>
      <c r="F80" s="2">
        <v>15.16</v>
      </c>
      <c r="G80" s="3">
        <v>15.16</v>
      </c>
      <c r="H80">
        <v>61</v>
      </c>
      <c r="I80" t="s">
        <v>12</v>
      </c>
      <c r="J80" t="s">
        <v>13</v>
      </c>
    </row>
    <row r="81" spans="1:10" x14ac:dyDescent="0.3">
      <c r="A81" t="s">
        <v>23</v>
      </c>
      <c r="B81" t="s">
        <v>24</v>
      </c>
      <c r="C81" t="s">
        <v>11</v>
      </c>
      <c r="D81" s="1">
        <v>45928</v>
      </c>
      <c r="E81">
        <v>5</v>
      </c>
      <c r="F81" s="2">
        <v>64.459999999999994</v>
      </c>
      <c r="G81" s="3">
        <v>322.3</v>
      </c>
      <c r="H81">
        <v>4</v>
      </c>
      <c r="I81" t="s">
        <v>20</v>
      </c>
      <c r="J81" t="s">
        <v>18</v>
      </c>
    </row>
    <row r="82" spans="1:10" x14ac:dyDescent="0.3">
      <c r="A82" t="s">
        <v>10</v>
      </c>
      <c r="B82" t="s">
        <v>19</v>
      </c>
      <c r="C82" t="s">
        <v>22</v>
      </c>
      <c r="D82" s="1">
        <v>45866</v>
      </c>
      <c r="E82">
        <v>8</v>
      </c>
      <c r="F82" s="2">
        <v>31.36</v>
      </c>
      <c r="G82" s="3">
        <v>250.88</v>
      </c>
      <c r="H82">
        <v>96</v>
      </c>
      <c r="I82" t="s">
        <v>12</v>
      </c>
      <c r="J82" t="s">
        <v>18</v>
      </c>
    </row>
    <row r="83" spans="1:10" x14ac:dyDescent="0.3">
      <c r="A83" t="s">
        <v>23</v>
      </c>
      <c r="B83" t="s">
        <v>3</v>
      </c>
      <c r="C83" t="s">
        <v>11</v>
      </c>
      <c r="D83" s="1">
        <v>45613</v>
      </c>
      <c r="E83">
        <v>6</v>
      </c>
      <c r="F83" s="2">
        <v>85.62</v>
      </c>
      <c r="G83" s="3">
        <v>513.72</v>
      </c>
      <c r="H83">
        <v>56</v>
      </c>
      <c r="I83" t="s">
        <v>12</v>
      </c>
      <c r="J83" t="s">
        <v>18</v>
      </c>
    </row>
    <row r="84" spans="1:10" x14ac:dyDescent="0.3">
      <c r="A84" t="s">
        <v>25</v>
      </c>
      <c r="B84" t="s">
        <v>21</v>
      </c>
      <c r="C84" t="s">
        <v>22</v>
      </c>
      <c r="D84" s="1">
        <v>45830</v>
      </c>
      <c r="E84">
        <v>43</v>
      </c>
      <c r="F84" s="2">
        <v>80.099999999999994</v>
      </c>
      <c r="G84" s="3">
        <v>3444.3</v>
      </c>
      <c r="H84">
        <v>27</v>
      </c>
      <c r="I84" t="s">
        <v>12</v>
      </c>
      <c r="J84" t="s">
        <v>13</v>
      </c>
    </row>
    <row r="85" spans="1:10" x14ac:dyDescent="0.3">
      <c r="B85" t="s">
        <v>21</v>
      </c>
      <c r="C85" t="s">
        <v>15</v>
      </c>
      <c r="D85" s="1">
        <v>45489</v>
      </c>
      <c r="E85">
        <v>31</v>
      </c>
      <c r="F85" s="2">
        <v>59.11</v>
      </c>
      <c r="G85" s="3">
        <v>1832.41</v>
      </c>
      <c r="H85">
        <v>77</v>
      </c>
      <c r="I85" t="s">
        <v>20</v>
      </c>
      <c r="J85" t="s">
        <v>18</v>
      </c>
    </row>
    <row r="86" spans="1:10" x14ac:dyDescent="0.3">
      <c r="A86" t="s">
        <v>14</v>
      </c>
      <c r="B86" t="s">
        <v>24</v>
      </c>
      <c r="C86" t="s">
        <v>11</v>
      </c>
      <c r="D86" s="1">
        <v>46009</v>
      </c>
      <c r="E86">
        <v>50</v>
      </c>
      <c r="F86" s="2">
        <v>20.77</v>
      </c>
      <c r="G86" s="3">
        <v>1038.5</v>
      </c>
      <c r="H86">
        <v>90</v>
      </c>
      <c r="I86" t="s">
        <v>12</v>
      </c>
      <c r="J86" t="s">
        <v>13</v>
      </c>
    </row>
    <row r="87" spans="1:10" x14ac:dyDescent="0.3">
      <c r="A87" t="s">
        <v>25</v>
      </c>
      <c r="B87" t="s">
        <v>26</v>
      </c>
      <c r="C87" t="s">
        <v>11</v>
      </c>
      <c r="D87" s="1">
        <v>45529</v>
      </c>
      <c r="F87" s="2">
        <v>45.31</v>
      </c>
      <c r="G87" s="3"/>
      <c r="H87">
        <v>77</v>
      </c>
      <c r="I87" t="s">
        <v>12</v>
      </c>
      <c r="J87" t="s">
        <v>18</v>
      </c>
    </row>
    <row r="88" spans="1:10" x14ac:dyDescent="0.3">
      <c r="B88" t="s">
        <v>26</v>
      </c>
      <c r="C88" t="s">
        <v>11</v>
      </c>
      <c r="D88" s="1">
        <v>45893</v>
      </c>
      <c r="E88">
        <v>46</v>
      </c>
      <c r="F88" s="2">
        <v>58.71</v>
      </c>
      <c r="G88" s="3">
        <v>2700.66</v>
      </c>
      <c r="H88">
        <v>100</v>
      </c>
      <c r="I88" t="s">
        <v>17</v>
      </c>
      <c r="J88" t="s">
        <v>18</v>
      </c>
    </row>
    <row r="89" spans="1:10" x14ac:dyDescent="0.3">
      <c r="A89" t="s">
        <v>10</v>
      </c>
      <c r="B89" t="s">
        <v>21</v>
      </c>
      <c r="C89" t="s">
        <v>11</v>
      </c>
      <c r="D89" s="1">
        <v>45376</v>
      </c>
      <c r="E89">
        <v>31</v>
      </c>
      <c r="F89" s="2">
        <v>1.67</v>
      </c>
      <c r="G89" s="3">
        <v>51.77</v>
      </c>
      <c r="H89">
        <v>46</v>
      </c>
      <c r="I89" t="s">
        <v>20</v>
      </c>
      <c r="J89" t="s">
        <v>18</v>
      </c>
    </row>
    <row r="90" spans="1:10" x14ac:dyDescent="0.3">
      <c r="A90" t="s">
        <v>10</v>
      </c>
      <c r="B90" t="s">
        <v>16</v>
      </c>
      <c r="C90" t="s">
        <v>22</v>
      </c>
      <c r="D90" s="1">
        <v>45428</v>
      </c>
      <c r="E90">
        <v>45</v>
      </c>
      <c r="F90" s="2">
        <v>46.14</v>
      </c>
      <c r="G90" s="3">
        <v>2076.3000000000002</v>
      </c>
      <c r="H90">
        <v>71</v>
      </c>
      <c r="I90" t="s">
        <v>12</v>
      </c>
      <c r="J90" t="s">
        <v>18</v>
      </c>
    </row>
    <row r="91" spans="1:10" x14ac:dyDescent="0.3">
      <c r="A91" t="s">
        <v>10</v>
      </c>
      <c r="B91" t="s">
        <v>21</v>
      </c>
      <c r="C91" t="s">
        <v>15</v>
      </c>
      <c r="D91" s="1">
        <v>45564</v>
      </c>
      <c r="E91">
        <v>44</v>
      </c>
      <c r="F91" s="2">
        <v>22.36</v>
      </c>
      <c r="G91" s="3">
        <v>983.84</v>
      </c>
      <c r="H91">
        <v>22</v>
      </c>
      <c r="I91" t="s">
        <v>17</v>
      </c>
      <c r="J9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C9A03-9E47-4A5E-BD5A-A1D9A39BE9AE}">
  <dimension ref="B5:C19"/>
  <sheetViews>
    <sheetView workbookViewId="0"/>
  </sheetViews>
  <sheetFormatPr defaultRowHeight="14.4" x14ac:dyDescent="0.3"/>
  <cols>
    <col min="2" max="2" width="12.44140625" bestFit="1" customWidth="1"/>
    <col min="3" max="3" width="10.33203125" bestFit="1" customWidth="1"/>
  </cols>
  <sheetData>
    <row r="5" spans="2:3" x14ac:dyDescent="0.3">
      <c r="B5" s="4" t="s">
        <v>1</v>
      </c>
      <c r="C5" t="s">
        <v>29</v>
      </c>
    </row>
    <row r="7" spans="2:3" x14ac:dyDescent="0.3">
      <c r="B7" s="4" t="s">
        <v>27</v>
      </c>
      <c r="C7" t="s">
        <v>30</v>
      </c>
    </row>
    <row r="8" spans="2:3" x14ac:dyDescent="0.3">
      <c r="B8" s="5" t="s">
        <v>11</v>
      </c>
      <c r="C8" s="2"/>
    </row>
    <row r="9" spans="2:3" x14ac:dyDescent="0.3">
      <c r="B9" s="6" t="s">
        <v>17</v>
      </c>
      <c r="C9" s="2">
        <v>520.60389743589678</v>
      </c>
    </row>
    <row r="10" spans="2:3" x14ac:dyDescent="0.3">
      <c r="B10" s="6" t="s">
        <v>20</v>
      </c>
      <c r="C10" s="2">
        <v>1281.286174358974</v>
      </c>
    </row>
    <row r="11" spans="2:3" x14ac:dyDescent="0.3">
      <c r="B11" s="6" t="s">
        <v>12</v>
      </c>
      <c r="C11" s="2">
        <v>761.89625444444471</v>
      </c>
    </row>
    <row r="12" spans="2:3" x14ac:dyDescent="0.3">
      <c r="B12" s="5" t="s">
        <v>22</v>
      </c>
      <c r="C12" s="2"/>
    </row>
    <row r="13" spans="2:3" x14ac:dyDescent="0.3">
      <c r="B13" s="6" t="s">
        <v>17</v>
      </c>
      <c r="C13" s="2">
        <v>408.15030999999999</v>
      </c>
    </row>
    <row r="14" spans="2:3" x14ac:dyDescent="0.3">
      <c r="B14" s="6" t="s">
        <v>20</v>
      </c>
      <c r="C14" s="2">
        <v>516.83087500000033</v>
      </c>
    </row>
    <row r="15" spans="2:3" x14ac:dyDescent="0.3">
      <c r="B15" s="6" t="s">
        <v>12</v>
      </c>
      <c r="C15" s="2">
        <v>635.19054181818137</v>
      </c>
    </row>
    <row r="16" spans="2:3" x14ac:dyDescent="0.3">
      <c r="B16" s="5" t="s">
        <v>15</v>
      </c>
      <c r="C16" s="2"/>
    </row>
    <row r="17" spans="2:3" x14ac:dyDescent="0.3">
      <c r="B17" s="6" t="s">
        <v>17</v>
      </c>
      <c r="C17" s="2">
        <v>648.73752888888885</v>
      </c>
    </row>
    <row r="18" spans="2:3" x14ac:dyDescent="0.3">
      <c r="B18" s="6" t="s">
        <v>20</v>
      </c>
      <c r="C18" s="2">
        <v>611.64940606060622</v>
      </c>
    </row>
    <row r="19" spans="2:3" x14ac:dyDescent="0.3">
      <c r="B19" s="6" t="s">
        <v>12</v>
      </c>
      <c r="C19" s="2">
        <v>116.17226666666639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2BF4B-E328-45AB-9A93-47CCFC79C5D8}">
  <dimension ref="B4:C54"/>
  <sheetViews>
    <sheetView workbookViewId="0"/>
  </sheetViews>
  <sheetFormatPr defaultRowHeight="14.4" x14ac:dyDescent="0.3"/>
  <cols>
    <col min="2" max="2" width="12.44140625" bestFit="1" customWidth="1"/>
    <col min="3" max="3" width="20.6640625" bestFit="1" customWidth="1"/>
  </cols>
  <sheetData>
    <row r="4" spans="2:3" x14ac:dyDescent="0.3">
      <c r="B4" s="4" t="s">
        <v>27</v>
      </c>
      <c r="C4" t="s">
        <v>31</v>
      </c>
    </row>
    <row r="5" spans="2:3" x14ac:dyDescent="0.3">
      <c r="B5" s="5" t="s">
        <v>18</v>
      </c>
      <c r="C5" s="8"/>
    </row>
    <row r="6" spans="2:3" x14ac:dyDescent="0.3">
      <c r="B6" s="6" t="s">
        <v>21</v>
      </c>
      <c r="C6" s="8">
        <v>7</v>
      </c>
    </row>
    <row r="7" spans="2:3" x14ac:dyDescent="0.3">
      <c r="B7" s="7" t="s">
        <v>17</v>
      </c>
      <c r="C7" s="8">
        <v>2</v>
      </c>
    </row>
    <row r="8" spans="2:3" x14ac:dyDescent="0.3">
      <c r="B8" s="7" t="s">
        <v>20</v>
      </c>
      <c r="C8" s="8">
        <v>4</v>
      </c>
    </row>
    <row r="9" spans="2:3" x14ac:dyDescent="0.3">
      <c r="B9" s="7" t="s">
        <v>12</v>
      </c>
      <c r="C9" s="8">
        <v>1</v>
      </c>
    </row>
    <row r="10" spans="2:3" x14ac:dyDescent="0.3">
      <c r="B10" s="6" t="s">
        <v>19</v>
      </c>
      <c r="C10" s="8">
        <v>5</v>
      </c>
    </row>
    <row r="11" spans="2:3" x14ac:dyDescent="0.3">
      <c r="B11" s="7" t="s">
        <v>17</v>
      </c>
      <c r="C11" s="8">
        <v>1</v>
      </c>
    </row>
    <row r="12" spans="2:3" x14ac:dyDescent="0.3">
      <c r="B12" s="7" t="s">
        <v>20</v>
      </c>
      <c r="C12" s="8">
        <v>2</v>
      </c>
    </row>
    <row r="13" spans="2:3" x14ac:dyDescent="0.3">
      <c r="B13" s="7" t="s">
        <v>12</v>
      </c>
      <c r="C13" s="8">
        <v>2</v>
      </c>
    </row>
    <row r="14" spans="2:3" x14ac:dyDescent="0.3">
      <c r="B14" s="6" t="s">
        <v>24</v>
      </c>
      <c r="C14" s="8">
        <v>6</v>
      </c>
    </row>
    <row r="15" spans="2:3" x14ac:dyDescent="0.3">
      <c r="B15" s="7" t="s">
        <v>17</v>
      </c>
      <c r="C15" s="8">
        <v>2</v>
      </c>
    </row>
    <row r="16" spans="2:3" x14ac:dyDescent="0.3">
      <c r="B16" s="7" t="s">
        <v>20</v>
      </c>
      <c r="C16" s="8">
        <v>3</v>
      </c>
    </row>
    <row r="17" spans="2:3" x14ac:dyDescent="0.3">
      <c r="B17" s="7" t="s">
        <v>12</v>
      </c>
      <c r="C17" s="8">
        <v>1</v>
      </c>
    </row>
    <row r="18" spans="2:3" x14ac:dyDescent="0.3">
      <c r="B18" s="6" t="s">
        <v>3</v>
      </c>
      <c r="C18" s="8">
        <v>7</v>
      </c>
    </row>
    <row r="19" spans="2:3" x14ac:dyDescent="0.3">
      <c r="B19" s="7" t="s">
        <v>17</v>
      </c>
      <c r="C19" s="8">
        <v>3</v>
      </c>
    </row>
    <row r="20" spans="2:3" x14ac:dyDescent="0.3">
      <c r="B20" s="7" t="s">
        <v>20</v>
      </c>
      <c r="C20" s="8">
        <v>2</v>
      </c>
    </row>
    <row r="21" spans="2:3" x14ac:dyDescent="0.3">
      <c r="B21" s="7" t="s">
        <v>12</v>
      </c>
      <c r="C21" s="8">
        <v>2</v>
      </c>
    </row>
    <row r="22" spans="2:3" x14ac:dyDescent="0.3">
      <c r="B22" s="6" t="s">
        <v>26</v>
      </c>
      <c r="C22" s="8">
        <v>6</v>
      </c>
    </row>
    <row r="23" spans="2:3" x14ac:dyDescent="0.3">
      <c r="B23" s="7" t="s">
        <v>17</v>
      </c>
      <c r="C23" s="8">
        <v>3</v>
      </c>
    </row>
    <row r="24" spans="2:3" x14ac:dyDescent="0.3">
      <c r="B24" s="7" t="s">
        <v>20</v>
      </c>
      <c r="C24" s="8">
        <v>1</v>
      </c>
    </row>
    <row r="25" spans="2:3" x14ac:dyDescent="0.3">
      <c r="B25" s="7" t="s">
        <v>12</v>
      </c>
      <c r="C25" s="8">
        <v>2</v>
      </c>
    </row>
    <row r="26" spans="2:3" x14ac:dyDescent="0.3">
      <c r="B26" s="6" t="s">
        <v>16</v>
      </c>
      <c r="C26" s="8">
        <v>7</v>
      </c>
    </row>
    <row r="27" spans="2:3" x14ac:dyDescent="0.3">
      <c r="B27" s="7" t="s">
        <v>17</v>
      </c>
      <c r="C27" s="8">
        <v>3</v>
      </c>
    </row>
    <row r="28" spans="2:3" x14ac:dyDescent="0.3">
      <c r="B28" s="7" t="s">
        <v>20</v>
      </c>
      <c r="C28" s="8">
        <v>3</v>
      </c>
    </row>
    <row r="29" spans="2:3" x14ac:dyDescent="0.3">
      <c r="B29" s="7" t="s">
        <v>12</v>
      </c>
      <c r="C29" s="8">
        <v>1</v>
      </c>
    </row>
    <row r="30" spans="2:3" x14ac:dyDescent="0.3">
      <c r="B30" s="5" t="s">
        <v>13</v>
      </c>
      <c r="C30" s="8"/>
    </row>
    <row r="31" spans="2:3" x14ac:dyDescent="0.3">
      <c r="B31" s="6" t="s">
        <v>21</v>
      </c>
      <c r="C31" s="8">
        <v>10</v>
      </c>
    </row>
    <row r="32" spans="2:3" x14ac:dyDescent="0.3">
      <c r="B32" s="7" t="s">
        <v>17</v>
      </c>
      <c r="C32" s="8">
        <v>5</v>
      </c>
    </row>
    <row r="33" spans="2:3" x14ac:dyDescent="0.3">
      <c r="B33" s="7" t="s">
        <v>20</v>
      </c>
      <c r="C33" s="8">
        <v>3</v>
      </c>
    </row>
    <row r="34" spans="2:3" x14ac:dyDescent="0.3">
      <c r="B34" s="7" t="s">
        <v>12</v>
      </c>
      <c r="C34" s="8">
        <v>2</v>
      </c>
    </row>
    <row r="35" spans="2:3" x14ac:dyDescent="0.3">
      <c r="B35" s="6" t="s">
        <v>19</v>
      </c>
      <c r="C35" s="8">
        <v>6</v>
      </c>
    </row>
    <row r="36" spans="2:3" x14ac:dyDescent="0.3">
      <c r="B36" s="7" t="s">
        <v>17</v>
      </c>
      <c r="C36" s="8">
        <v>2</v>
      </c>
    </row>
    <row r="37" spans="2:3" x14ac:dyDescent="0.3">
      <c r="B37" s="7" t="s">
        <v>20</v>
      </c>
      <c r="C37" s="8">
        <v>2</v>
      </c>
    </row>
    <row r="38" spans="2:3" x14ac:dyDescent="0.3">
      <c r="B38" s="7" t="s">
        <v>12</v>
      </c>
      <c r="C38" s="8">
        <v>2</v>
      </c>
    </row>
    <row r="39" spans="2:3" x14ac:dyDescent="0.3">
      <c r="B39" s="6" t="s">
        <v>24</v>
      </c>
      <c r="C39" s="8">
        <v>7</v>
      </c>
    </row>
    <row r="40" spans="2:3" x14ac:dyDescent="0.3">
      <c r="B40" s="7" t="s">
        <v>17</v>
      </c>
      <c r="C40" s="8">
        <v>2</v>
      </c>
    </row>
    <row r="41" spans="2:3" x14ac:dyDescent="0.3">
      <c r="B41" s="7" t="s">
        <v>20</v>
      </c>
      <c r="C41" s="8">
        <v>3</v>
      </c>
    </row>
    <row r="42" spans="2:3" x14ac:dyDescent="0.3">
      <c r="B42" s="7" t="s">
        <v>12</v>
      </c>
      <c r="C42" s="8">
        <v>2</v>
      </c>
    </row>
    <row r="43" spans="2:3" x14ac:dyDescent="0.3">
      <c r="B43" s="6" t="s">
        <v>3</v>
      </c>
      <c r="C43" s="8">
        <v>8</v>
      </c>
    </row>
    <row r="44" spans="2:3" x14ac:dyDescent="0.3">
      <c r="B44" s="7" t="s">
        <v>17</v>
      </c>
      <c r="C44" s="8">
        <v>1</v>
      </c>
    </row>
    <row r="45" spans="2:3" x14ac:dyDescent="0.3">
      <c r="B45" s="7" t="s">
        <v>20</v>
      </c>
      <c r="C45" s="8">
        <v>3</v>
      </c>
    </row>
    <row r="46" spans="2:3" x14ac:dyDescent="0.3">
      <c r="B46" s="7" t="s">
        <v>12</v>
      </c>
      <c r="C46" s="8">
        <v>4</v>
      </c>
    </row>
    <row r="47" spans="2:3" x14ac:dyDescent="0.3">
      <c r="B47" s="6" t="s">
        <v>26</v>
      </c>
      <c r="C47" s="8">
        <v>12</v>
      </c>
    </row>
    <row r="48" spans="2:3" x14ac:dyDescent="0.3">
      <c r="B48" s="7" t="s">
        <v>17</v>
      </c>
      <c r="C48" s="8">
        <v>4</v>
      </c>
    </row>
    <row r="49" spans="2:3" x14ac:dyDescent="0.3">
      <c r="B49" s="7" t="s">
        <v>20</v>
      </c>
      <c r="C49" s="8">
        <v>5</v>
      </c>
    </row>
    <row r="50" spans="2:3" x14ac:dyDescent="0.3">
      <c r="B50" s="7" t="s">
        <v>12</v>
      </c>
      <c r="C50" s="8">
        <v>3</v>
      </c>
    </row>
    <row r="51" spans="2:3" x14ac:dyDescent="0.3">
      <c r="B51" s="6" t="s">
        <v>16</v>
      </c>
      <c r="C51" s="8">
        <v>7</v>
      </c>
    </row>
    <row r="52" spans="2:3" x14ac:dyDescent="0.3">
      <c r="B52" s="7" t="s">
        <v>17</v>
      </c>
      <c r="C52" s="8">
        <v>1</v>
      </c>
    </row>
    <row r="53" spans="2:3" x14ac:dyDescent="0.3">
      <c r="B53" s="7" t="s">
        <v>20</v>
      </c>
      <c r="C53" s="8">
        <v>2</v>
      </c>
    </row>
    <row r="54" spans="2:3" x14ac:dyDescent="0.3">
      <c r="B54" s="7" t="s">
        <v>12</v>
      </c>
      <c r="C54" s="8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743EA-C2B3-4325-89A9-DDAC7D20B6CA}">
  <dimension ref="B4:D17"/>
  <sheetViews>
    <sheetView workbookViewId="0"/>
  </sheetViews>
  <sheetFormatPr defaultRowHeight="14.4" x14ac:dyDescent="0.3"/>
  <cols>
    <col min="2" max="2" width="12.44140625" bestFit="1" customWidth="1"/>
    <col min="3" max="3" width="6.5546875" bestFit="1" customWidth="1"/>
    <col min="4" max="4" width="13.6640625" bestFit="1" customWidth="1"/>
  </cols>
  <sheetData>
    <row r="4" spans="2:4" x14ac:dyDescent="0.3">
      <c r="B4" s="4" t="s">
        <v>2</v>
      </c>
      <c r="C4" s="4" t="s">
        <v>8</v>
      </c>
      <c r="D4" t="s">
        <v>35</v>
      </c>
    </row>
    <row r="5" spans="2:4" x14ac:dyDescent="0.3">
      <c r="B5" t="s">
        <v>11</v>
      </c>
      <c r="C5" t="s">
        <v>17</v>
      </c>
      <c r="D5" s="8">
        <v>17.413890712405134</v>
      </c>
    </row>
    <row r="6" spans="2:4" x14ac:dyDescent="0.3">
      <c r="C6" t="s">
        <v>20</v>
      </c>
      <c r="D6" s="8">
        <v>15.130627793845749</v>
      </c>
    </row>
    <row r="7" spans="2:4" x14ac:dyDescent="0.3">
      <c r="C7" t="s">
        <v>12</v>
      </c>
      <c r="D7" s="8">
        <v>17.080690852538723</v>
      </c>
    </row>
    <row r="8" spans="2:4" x14ac:dyDescent="0.3">
      <c r="B8" t="s">
        <v>32</v>
      </c>
      <c r="D8" s="8">
        <v>16.141808547782908</v>
      </c>
    </row>
    <row r="9" spans="2:4" x14ac:dyDescent="0.3">
      <c r="B9" t="s">
        <v>22</v>
      </c>
      <c r="C9" t="s">
        <v>17</v>
      </c>
      <c r="D9" s="8">
        <v>12.023587928179619</v>
      </c>
    </row>
    <row r="10" spans="2:4" x14ac:dyDescent="0.3">
      <c r="C10" t="s">
        <v>20</v>
      </c>
      <c r="D10" s="8">
        <v>10.344080432788601</v>
      </c>
    </row>
    <row r="11" spans="2:4" x14ac:dyDescent="0.3">
      <c r="C11" t="s">
        <v>12</v>
      </c>
      <c r="D11" s="8">
        <v>18.107758256915986</v>
      </c>
    </row>
    <row r="12" spans="2:4" x14ac:dyDescent="0.3">
      <c r="B12" t="s">
        <v>33</v>
      </c>
      <c r="D12" s="8">
        <v>14.368555411570943</v>
      </c>
    </row>
    <row r="13" spans="2:4" x14ac:dyDescent="0.3">
      <c r="B13" t="s">
        <v>15</v>
      </c>
      <c r="C13" t="s">
        <v>17</v>
      </c>
      <c r="D13" s="8">
        <v>14.122086720217139</v>
      </c>
    </row>
    <row r="14" spans="2:4" x14ac:dyDescent="0.3">
      <c r="C14" t="s">
        <v>20</v>
      </c>
      <c r="D14" s="8">
        <v>12.84806317203987</v>
      </c>
    </row>
    <row r="15" spans="2:4" x14ac:dyDescent="0.3">
      <c r="C15" t="s">
        <v>12</v>
      </c>
      <c r="D15" s="8">
        <v>15.819818793736754</v>
      </c>
    </row>
    <row r="16" spans="2:4" x14ac:dyDescent="0.3">
      <c r="B16" t="s">
        <v>34</v>
      </c>
      <c r="D16" s="8">
        <v>14.004679722544681</v>
      </c>
    </row>
    <row r="17" spans="2:4" x14ac:dyDescent="0.3">
      <c r="B17" t="s">
        <v>28</v>
      </c>
      <c r="D17" s="8">
        <v>15.212630009558916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76D92-F004-4EED-92EF-98F8F75598FB}">
  <dimension ref="B5:C8"/>
  <sheetViews>
    <sheetView workbookViewId="0"/>
  </sheetViews>
  <sheetFormatPr defaultRowHeight="14.4" x14ac:dyDescent="0.3"/>
  <cols>
    <col min="2" max="2" width="16.33203125" bestFit="1" customWidth="1"/>
    <col min="3" max="3" width="6.33203125" bestFit="1" customWidth="1"/>
  </cols>
  <sheetData>
    <row r="5" spans="2:3" x14ac:dyDescent="0.3">
      <c r="B5" s="4" t="s">
        <v>8</v>
      </c>
      <c r="C5" t="s">
        <v>29</v>
      </c>
    </row>
    <row r="7" spans="2:3" x14ac:dyDescent="0.3">
      <c r="B7" t="s">
        <v>36</v>
      </c>
    </row>
    <row r="8" spans="2:3" x14ac:dyDescent="0.3">
      <c r="B8" s="8">
        <v>978.60124523342006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110BF-F535-4CAC-9881-EDA0C269ACFB}">
  <dimension ref="B4:M18"/>
  <sheetViews>
    <sheetView workbookViewId="0"/>
  </sheetViews>
  <sheetFormatPr defaultRowHeight="14.4" x14ac:dyDescent="0.3"/>
  <cols>
    <col min="2" max="2" width="12.44140625" bestFit="1" customWidth="1"/>
    <col min="3" max="3" width="6.5546875" bestFit="1" customWidth="1"/>
    <col min="4" max="13" width="12" bestFit="1" customWidth="1"/>
  </cols>
  <sheetData>
    <row r="4" spans="2:13" x14ac:dyDescent="0.3">
      <c r="D4" s="4" t="s">
        <v>0</v>
      </c>
      <c r="E4" s="4" t="s">
        <v>40</v>
      </c>
    </row>
    <row r="5" spans="2:13" x14ac:dyDescent="0.3">
      <c r="D5" t="s">
        <v>25</v>
      </c>
      <c r="E5" t="s">
        <v>25</v>
      </c>
      <c r="F5" t="s">
        <v>14</v>
      </c>
      <c r="G5" t="s">
        <v>14</v>
      </c>
      <c r="H5" t="s">
        <v>10</v>
      </c>
      <c r="I5" t="s">
        <v>10</v>
      </c>
      <c r="J5" t="s">
        <v>23</v>
      </c>
      <c r="K5" t="s">
        <v>23</v>
      </c>
      <c r="L5" t="s">
        <v>38</v>
      </c>
      <c r="M5" t="s">
        <v>38</v>
      </c>
    </row>
    <row r="6" spans="2:13" x14ac:dyDescent="0.3">
      <c r="B6" s="4" t="s">
        <v>2</v>
      </c>
      <c r="C6" s="4" t="s">
        <v>8</v>
      </c>
      <c r="D6" t="s">
        <v>39</v>
      </c>
      <c r="E6" t="s">
        <v>41</v>
      </c>
      <c r="F6" t="s">
        <v>39</v>
      </c>
      <c r="G6" t="s">
        <v>41</v>
      </c>
      <c r="H6" t="s">
        <v>39</v>
      </c>
      <c r="I6" t="s">
        <v>41</v>
      </c>
      <c r="J6" t="s">
        <v>39</v>
      </c>
      <c r="K6" t="s">
        <v>41</v>
      </c>
      <c r="L6" t="s">
        <v>39</v>
      </c>
      <c r="M6" t="s">
        <v>41</v>
      </c>
    </row>
    <row r="7" spans="2:13" x14ac:dyDescent="0.3">
      <c r="B7" t="s">
        <v>11</v>
      </c>
      <c r="D7" s="8">
        <v>1311.0612244897959</v>
      </c>
      <c r="E7" s="8">
        <v>94</v>
      </c>
      <c r="F7" s="8">
        <v>909.35802469135797</v>
      </c>
      <c r="G7" s="8">
        <v>90</v>
      </c>
      <c r="H7" s="8">
        <v>929.80246913580243</v>
      </c>
      <c r="I7" s="8">
        <v>99</v>
      </c>
      <c r="J7" s="8">
        <v>1286.04</v>
      </c>
      <c r="K7" s="8">
        <v>98</v>
      </c>
      <c r="L7" s="8">
        <v>0</v>
      </c>
      <c r="M7" s="8">
        <v>100</v>
      </c>
    </row>
    <row r="8" spans="2:13" x14ac:dyDescent="0.3">
      <c r="B8" t="s">
        <v>11</v>
      </c>
      <c r="C8" t="s">
        <v>17</v>
      </c>
      <c r="D8" s="8">
        <v>756.25</v>
      </c>
      <c r="E8" s="8">
        <v>73</v>
      </c>
      <c r="F8" s="8">
        <v>459.6875</v>
      </c>
      <c r="G8" s="8">
        <v>83</v>
      </c>
      <c r="H8" s="8">
        <v>0</v>
      </c>
      <c r="I8" s="8">
        <v>46</v>
      </c>
      <c r="J8" s="8">
        <v>1035.2</v>
      </c>
      <c r="K8" s="8">
        <v>92</v>
      </c>
      <c r="L8" s="8">
        <v>0</v>
      </c>
      <c r="M8" s="8">
        <v>100</v>
      </c>
    </row>
    <row r="9" spans="2:13" x14ac:dyDescent="0.3">
      <c r="B9" t="s">
        <v>11</v>
      </c>
      <c r="C9" t="s">
        <v>20</v>
      </c>
      <c r="D9" s="8">
        <v>1736.6875</v>
      </c>
      <c r="E9" s="8">
        <v>94</v>
      </c>
      <c r="F9" s="8"/>
      <c r="G9" s="8"/>
      <c r="H9" s="8">
        <v>1463.04</v>
      </c>
      <c r="I9" s="8">
        <v>99</v>
      </c>
      <c r="J9" s="8">
        <v>1793.1875</v>
      </c>
      <c r="K9" s="8">
        <v>98</v>
      </c>
      <c r="L9" s="8"/>
      <c r="M9" s="8"/>
    </row>
    <row r="10" spans="2:13" x14ac:dyDescent="0.3">
      <c r="B10" t="s">
        <v>11</v>
      </c>
      <c r="C10" t="s">
        <v>12</v>
      </c>
      <c r="D10" s="8">
        <v>0</v>
      </c>
      <c r="E10" s="8">
        <v>77</v>
      </c>
      <c r="F10" s="8">
        <v>1172.4000000000001</v>
      </c>
      <c r="G10" s="8">
        <v>90</v>
      </c>
      <c r="H10" s="8">
        <v>308.22222222222223</v>
      </c>
      <c r="I10" s="8">
        <v>75</v>
      </c>
      <c r="J10" s="8">
        <v>0</v>
      </c>
      <c r="K10" s="8">
        <v>56</v>
      </c>
      <c r="L10" s="8"/>
      <c r="M10" s="8"/>
    </row>
    <row r="11" spans="2:13" x14ac:dyDescent="0.3">
      <c r="B11" t="s">
        <v>22</v>
      </c>
      <c r="D11" s="8">
        <v>913.22222222222217</v>
      </c>
      <c r="E11" s="8">
        <v>93</v>
      </c>
      <c r="F11" s="8">
        <v>1078.25</v>
      </c>
      <c r="G11" s="8">
        <v>98</v>
      </c>
      <c r="H11" s="8">
        <v>804.859375</v>
      </c>
      <c r="I11" s="8">
        <v>96</v>
      </c>
      <c r="J11" s="8">
        <v>263.6875</v>
      </c>
      <c r="K11" s="8">
        <v>55</v>
      </c>
      <c r="L11" s="8">
        <v>404</v>
      </c>
      <c r="M11" s="8">
        <v>83</v>
      </c>
    </row>
    <row r="12" spans="2:13" x14ac:dyDescent="0.3">
      <c r="B12" t="s">
        <v>22</v>
      </c>
      <c r="C12" t="s">
        <v>17</v>
      </c>
      <c r="D12" s="8">
        <v>289</v>
      </c>
      <c r="E12" s="8">
        <v>72</v>
      </c>
      <c r="F12" s="8">
        <v>1806.25</v>
      </c>
      <c r="G12" s="8">
        <v>98</v>
      </c>
      <c r="H12" s="8">
        <v>0</v>
      </c>
      <c r="I12" s="8">
        <v>75</v>
      </c>
      <c r="J12" s="8"/>
      <c r="K12" s="8"/>
      <c r="L12" s="8">
        <v>0</v>
      </c>
      <c r="M12" s="8">
        <v>39</v>
      </c>
    </row>
    <row r="13" spans="2:13" x14ac:dyDescent="0.3">
      <c r="B13" t="s">
        <v>22</v>
      </c>
      <c r="C13" t="s">
        <v>20</v>
      </c>
      <c r="D13" s="8">
        <v>1454</v>
      </c>
      <c r="E13" s="8">
        <v>93</v>
      </c>
      <c r="F13" s="8">
        <v>0</v>
      </c>
      <c r="G13" s="8">
        <v>26</v>
      </c>
      <c r="H13" s="8">
        <v>344</v>
      </c>
      <c r="I13" s="8">
        <v>96</v>
      </c>
      <c r="J13" s="8">
        <v>0.25</v>
      </c>
      <c r="K13" s="8">
        <v>55</v>
      </c>
      <c r="L13" s="8"/>
      <c r="M13" s="8"/>
    </row>
    <row r="14" spans="2:13" x14ac:dyDescent="0.3">
      <c r="B14" t="s">
        <v>22</v>
      </c>
      <c r="C14" t="s">
        <v>12</v>
      </c>
      <c r="D14" s="8">
        <v>0</v>
      </c>
      <c r="E14" s="8">
        <v>27</v>
      </c>
      <c r="F14" s="8">
        <v>0</v>
      </c>
      <c r="G14" s="8">
        <v>33</v>
      </c>
      <c r="H14" s="8">
        <v>1245.5</v>
      </c>
      <c r="I14" s="8">
        <v>96</v>
      </c>
      <c r="J14" s="8">
        <v>121</v>
      </c>
      <c r="K14" s="8">
        <v>37</v>
      </c>
      <c r="L14" s="8">
        <v>451.55555555555554</v>
      </c>
      <c r="M14" s="8">
        <v>83</v>
      </c>
    </row>
    <row r="15" spans="2:13" x14ac:dyDescent="0.3">
      <c r="B15" t="s">
        <v>15</v>
      </c>
      <c r="D15" s="8">
        <v>653</v>
      </c>
      <c r="E15" s="8">
        <v>78</v>
      </c>
      <c r="F15" s="8">
        <v>380.25</v>
      </c>
      <c r="G15" s="8">
        <v>65</v>
      </c>
      <c r="H15" s="8">
        <v>867.64</v>
      </c>
      <c r="I15" s="8">
        <v>94</v>
      </c>
      <c r="J15" s="8">
        <v>402.69387755102042</v>
      </c>
      <c r="K15" s="8">
        <v>73</v>
      </c>
      <c r="L15" s="8">
        <v>84.666666666666671</v>
      </c>
      <c r="M15" s="8">
        <v>96</v>
      </c>
    </row>
    <row r="16" spans="2:13" x14ac:dyDescent="0.3">
      <c r="B16" t="s">
        <v>15</v>
      </c>
      <c r="C16" t="s">
        <v>17</v>
      </c>
      <c r="D16" s="8">
        <v>754.88888888888891</v>
      </c>
      <c r="E16" s="8">
        <v>73</v>
      </c>
      <c r="F16" s="8">
        <v>0</v>
      </c>
      <c r="G16" s="8">
        <v>65</v>
      </c>
      <c r="H16" s="8">
        <v>221.36</v>
      </c>
      <c r="I16" s="8">
        <v>61</v>
      </c>
      <c r="J16" s="8">
        <v>0</v>
      </c>
      <c r="K16" s="8">
        <v>60</v>
      </c>
      <c r="L16" s="8"/>
      <c r="M16" s="8"/>
    </row>
    <row r="17" spans="2:13" x14ac:dyDescent="0.3">
      <c r="B17" t="s">
        <v>15</v>
      </c>
      <c r="C17" t="s">
        <v>20</v>
      </c>
      <c r="D17" s="8">
        <v>0</v>
      </c>
      <c r="E17" s="8">
        <v>78</v>
      </c>
      <c r="F17" s="8"/>
      <c r="G17" s="8"/>
      <c r="H17" s="8">
        <v>1392.24</v>
      </c>
      <c r="I17" s="8">
        <v>94</v>
      </c>
      <c r="J17" s="8">
        <v>502.5</v>
      </c>
      <c r="K17" s="8">
        <v>73</v>
      </c>
      <c r="L17" s="8">
        <v>0.25</v>
      </c>
      <c r="M17" s="8">
        <v>77</v>
      </c>
    </row>
    <row r="18" spans="2:13" x14ac:dyDescent="0.3">
      <c r="B18" t="s">
        <v>15</v>
      </c>
      <c r="C18" t="s">
        <v>12</v>
      </c>
      <c r="D18" s="8">
        <v>1</v>
      </c>
      <c r="E18" s="8">
        <v>60</v>
      </c>
      <c r="F18" s="8">
        <v>0</v>
      </c>
      <c r="G18" s="8">
        <v>26</v>
      </c>
      <c r="H18" s="8"/>
      <c r="I18" s="8"/>
      <c r="J18" s="8">
        <v>90.25</v>
      </c>
      <c r="K18" s="8">
        <v>43</v>
      </c>
      <c r="L18" s="8">
        <v>0</v>
      </c>
      <c r="M18" s="8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B3775-F300-4D6B-A066-D18F1BABE66C}">
  <dimension ref="B4:O27"/>
  <sheetViews>
    <sheetView workbookViewId="0"/>
  </sheetViews>
  <sheetFormatPr defaultRowHeight="14.4" x14ac:dyDescent="0.3"/>
  <cols>
    <col min="2" max="2" width="12.44140625" bestFit="1" customWidth="1"/>
    <col min="3" max="3" width="6.5546875" bestFit="1" customWidth="1"/>
    <col min="4" max="12" width="14.21875" bestFit="1" customWidth="1"/>
    <col min="13" max="13" width="18.77734375" bestFit="1" customWidth="1"/>
    <col min="14" max="14" width="16.44140625" bestFit="1" customWidth="1"/>
    <col min="15" max="15" width="17.6640625" bestFit="1" customWidth="1"/>
  </cols>
  <sheetData>
    <row r="4" spans="2:15" x14ac:dyDescent="0.3">
      <c r="D4" s="4" t="s">
        <v>2</v>
      </c>
      <c r="E4" s="4" t="s">
        <v>40</v>
      </c>
    </row>
    <row r="5" spans="2:15" x14ac:dyDescent="0.3">
      <c r="D5" t="s">
        <v>11</v>
      </c>
      <c r="E5" t="s">
        <v>11</v>
      </c>
      <c r="F5" t="s">
        <v>11</v>
      </c>
      <c r="G5" t="s">
        <v>22</v>
      </c>
      <c r="H5" t="s">
        <v>22</v>
      </c>
      <c r="I5" t="s">
        <v>22</v>
      </c>
      <c r="J5" t="s">
        <v>15</v>
      </c>
      <c r="K5" t="s">
        <v>15</v>
      </c>
      <c r="L5" t="s">
        <v>15</v>
      </c>
      <c r="M5" t="s">
        <v>43</v>
      </c>
      <c r="N5" t="s">
        <v>44</v>
      </c>
      <c r="O5" t="s">
        <v>45</v>
      </c>
    </row>
    <row r="6" spans="2:15" x14ac:dyDescent="0.3">
      <c r="B6" s="4" t="s">
        <v>0</v>
      </c>
      <c r="C6" s="4" t="s">
        <v>8</v>
      </c>
      <c r="D6" t="s">
        <v>42</v>
      </c>
      <c r="E6" t="s">
        <v>39</v>
      </c>
      <c r="F6" t="s">
        <v>46</v>
      </c>
      <c r="G6" t="s">
        <v>42</v>
      </c>
      <c r="H6" t="s">
        <v>39</v>
      </c>
      <c r="I6" t="s">
        <v>46</v>
      </c>
      <c r="J6" t="s">
        <v>42</v>
      </c>
      <c r="K6" t="s">
        <v>39</v>
      </c>
      <c r="L6" t="s">
        <v>46</v>
      </c>
    </row>
    <row r="7" spans="2:15" x14ac:dyDescent="0.3">
      <c r="B7" t="s">
        <v>25</v>
      </c>
      <c r="D7" s="2"/>
      <c r="E7" s="8"/>
      <c r="F7" s="8"/>
      <c r="G7" s="2"/>
      <c r="H7" s="8"/>
      <c r="I7" s="8"/>
      <c r="J7" s="2"/>
      <c r="K7" s="8"/>
      <c r="L7" s="8"/>
      <c r="M7" s="2"/>
      <c r="N7" s="8"/>
      <c r="O7" s="8"/>
    </row>
    <row r="8" spans="2:15" x14ac:dyDescent="0.3">
      <c r="B8" t="s">
        <v>25</v>
      </c>
      <c r="C8" t="s">
        <v>17</v>
      </c>
      <c r="D8" s="2">
        <v>31.9</v>
      </c>
      <c r="E8" s="8">
        <v>756.25</v>
      </c>
      <c r="F8" s="8">
        <v>2464.0199999999895</v>
      </c>
      <c r="G8" s="2">
        <v>21.43</v>
      </c>
      <c r="H8" s="8">
        <v>289</v>
      </c>
      <c r="I8" s="8">
        <v>152506.59920000006</v>
      </c>
      <c r="J8" s="2">
        <v>29.703333333333337</v>
      </c>
      <c r="K8" s="8">
        <v>754.88888888888891</v>
      </c>
      <c r="L8" s="8">
        <v>48447.342233333155</v>
      </c>
      <c r="M8" s="2">
        <v>27.967142857142857</v>
      </c>
      <c r="N8" s="8">
        <v>694.53061224489795</v>
      </c>
      <c r="O8" s="8">
        <v>97458.970814285727</v>
      </c>
    </row>
    <row r="9" spans="2:15" x14ac:dyDescent="0.3">
      <c r="B9" t="s">
        <v>25</v>
      </c>
      <c r="C9" t="s">
        <v>20</v>
      </c>
      <c r="D9" s="2">
        <v>49.677499999999995</v>
      </c>
      <c r="E9" s="8">
        <v>1736.6875</v>
      </c>
      <c r="F9" s="8">
        <v>5111194.7654916672</v>
      </c>
      <c r="G9" s="2">
        <v>44.276666666666664</v>
      </c>
      <c r="H9" s="8">
        <v>1454</v>
      </c>
      <c r="I9" s="8">
        <v>654165.96039999998</v>
      </c>
      <c r="J9" s="2">
        <v>64.010000000000005</v>
      </c>
      <c r="K9" s="8">
        <v>0</v>
      </c>
      <c r="L9" s="8" t="e">
        <v>#DIV/0!</v>
      </c>
      <c r="M9" s="2">
        <v>49.443749999999994</v>
      </c>
      <c r="N9" s="8">
        <v>1501.4375</v>
      </c>
      <c r="O9" s="8">
        <v>2514887.2033428573</v>
      </c>
    </row>
    <row r="10" spans="2:15" x14ac:dyDescent="0.3">
      <c r="B10" t="s">
        <v>25</v>
      </c>
      <c r="C10" t="s">
        <v>12</v>
      </c>
      <c r="D10" s="2">
        <v>45.31</v>
      </c>
      <c r="E10" s="8">
        <v>0</v>
      </c>
      <c r="F10" s="8"/>
      <c r="G10" s="2">
        <v>80.099999999999994</v>
      </c>
      <c r="H10" s="8">
        <v>0</v>
      </c>
      <c r="I10" s="8" t="e">
        <v>#DIV/0!</v>
      </c>
      <c r="J10" s="2">
        <v>28.060000000000002</v>
      </c>
      <c r="K10" s="8">
        <v>1</v>
      </c>
      <c r="L10" s="8">
        <v>389968.12979999976</v>
      </c>
      <c r="M10" s="2">
        <v>45.3825</v>
      </c>
      <c r="N10" s="8">
        <v>325.25</v>
      </c>
      <c r="O10" s="8">
        <v>2114264.1324000005</v>
      </c>
    </row>
    <row r="11" spans="2:15" x14ac:dyDescent="0.3">
      <c r="B11" t="s">
        <v>14</v>
      </c>
      <c r="D11" s="2"/>
      <c r="E11" s="8"/>
      <c r="F11" s="8"/>
      <c r="G11" s="2"/>
      <c r="H11" s="8"/>
      <c r="I11" s="8"/>
      <c r="J11" s="2"/>
      <c r="K11" s="8"/>
      <c r="L11" s="8"/>
      <c r="M11" s="2"/>
      <c r="N11" s="8"/>
      <c r="O11" s="8"/>
    </row>
    <row r="12" spans="2:15" x14ac:dyDescent="0.3">
      <c r="B12" t="s">
        <v>14</v>
      </c>
      <c r="C12" t="s">
        <v>17</v>
      </c>
      <c r="D12" s="2">
        <v>36.56</v>
      </c>
      <c r="E12" s="8">
        <v>459.6875</v>
      </c>
      <c r="F12" s="8">
        <v>452305.34102499951</v>
      </c>
      <c r="G12" s="2">
        <v>29.48</v>
      </c>
      <c r="H12" s="8">
        <v>1806.25</v>
      </c>
      <c r="I12" s="8">
        <v>201866.58000000019</v>
      </c>
      <c r="J12" s="2">
        <v>77.099999999999994</v>
      </c>
      <c r="K12" s="8">
        <v>0</v>
      </c>
      <c r="L12" s="8" t="e">
        <v>#DIV/0!</v>
      </c>
      <c r="M12" s="2">
        <v>40.328571428571429</v>
      </c>
      <c r="N12" s="8">
        <v>787.55102040816325</v>
      </c>
      <c r="O12" s="8">
        <v>447985.14115714235</v>
      </c>
    </row>
    <row r="13" spans="2:15" x14ac:dyDescent="0.3">
      <c r="B13" t="s">
        <v>14</v>
      </c>
      <c r="C13" t="s">
        <v>20</v>
      </c>
      <c r="D13" s="2"/>
      <c r="E13" s="8"/>
      <c r="F13" s="8"/>
      <c r="G13" s="2">
        <v>4.3499999999999996</v>
      </c>
      <c r="H13" s="8">
        <v>0</v>
      </c>
      <c r="I13" s="8" t="e">
        <v>#DIV/0!</v>
      </c>
      <c r="J13" s="2"/>
      <c r="K13" s="8"/>
      <c r="L13" s="8"/>
      <c r="M13" s="2">
        <v>4.3499999999999996</v>
      </c>
      <c r="N13" s="8">
        <v>0</v>
      </c>
      <c r="O13" s="8" t="e">
        <v>#DIV/0!</v>
      </c>
    </row>
    <row r="14" spans="2:15" x14ac:dyDescent="0.3">
      <c r="B14" t="s">
        <v>14</v>
      </c>
      <c r="C14" t="s">
        <v>12</v>
      </c>
      <c r="D14" s="2">
        <v>31.400000000000006</v>
      </c>
      <c r="E14" s="8">
        <v>1172.4000000000001</v>
      </c>
      <c r="F14" s="8">
        <v>1409011.0270199997</v>
      </c>
      <c r="G14" s="2">
        <v>53.03</v>
      </c>
      <c r="H14" s="8">
        <v>0</v>
      </c>
      <c r="I14" s="8" t="e">
        <v>#DIV/0!</v>
      </c>
      <c r="J14" s="2">
        <v>12.02</v>
      </c>
      <c r="K14" s="8">
        <v>0</v>
      </c>
      <c r="L14" s="8" t="e">
        <v>#DIV/0!</v>
      </c>
      <c r="M14" s="2">
        <v>31.721428571428579</v>
      </c>
      <c r="N14" s="8">
        <v>878.12244897959181</v>
      </c>
      <c r="O14" s="8">
        <v>1289964.0790809521</v>
      </c>
    </row>
    <row r="15" spans="2:15" x14ac:dyDescent="0.3">
      <c r="B15" t="s">
        <v>10</v>
      </c>
      <c r="D15" s="2"/>
      <c r="E15" s="8"/>
      <c r="F15" s="8"/>
      <c r="G15" s="2"/>
      <c r="H15" s="8"/>
      <c r="I15" s="8"/>
      <c r="J15" s="2"/>
      <c r="K15" s="8"/>
      <c r="L15" s="8"/>
      <c r="M15" s="2"/>
      <c r="N15" s="8"/>
      <c r="O15" s="8"/>
    </row>
    <row r="16" spans="2:15" x14ac:dyDescent="0.3">
      <c r="B16" t="s">
        <v>10</v>
      </c>
      <c r="C16" t="s">
        <v>17</v>
      </c>
      <c r="D16" s="2">
        <v>36.4</v>
      </c>
      <c r="E16" s="8">
        <v>0</v>
      </c>
      <c r="F16" s="8" t="e">
        <v>#DIV/0!</v>
      </c>
      <c r="G16" s="2">
        <v>11.39</v>
      </c>
      <c r="H16" s="8">
        <v>0</v>
      </c>
      <c r="I16" s="8" t="e">
        <v>#DIV/0!</v>
      </c>
      <c r="J16" s="2">
        <v>37.591999999999999</v>
      </c>
      <c r="K16" s="8">
        <v>221.36</v>
      </c>
      <c r="L16" s="8">
        <v>100837.11662999995</v>
      </c>
      <c r="M16" s="2">
        <v>33.678571428571431</v>
      </c>
      <c r="N16" s="8">
        <v>282.12244897959181</v>
      </c>
      <c r="O16" s="8">
        <v>76449.243014285646</v>
      </c>
    </row>
    <row r="17" spans="2:15" x14ac:dyDescent="0.3">
      <c r="B17" t="s">
        <v>10</v>
      </c>
      <c r="C17" t="s">
        <v>20</v>
      </c>
      <c r="D17" s="2">
        <v>57.465999999999994</v>
      </c>
      <c r="E17" s="8">
        <v>1463.04</v>
      </c>
      <c r="F17" s="8">
        <v>1629127.3060299996</v>
      </c>
      <c r="G17" s="2">
        <v>37.45333333333334</v>
      </c>
      <c r="H17" s="8">
        <v>344</v>
      </c>
      <c r="I17" s="8">
        <v>292626.32319999998</v>
      </c>
      <c r="J17" s="2">
        <v>36.85</v>
      </c>
      <c r="K17" s="8">
        <v>1392.24</v>
      </c>
      <c r="L17" s="8">
        <v>259610.36563333342</v>
      </c>
      <c r="M17" s="2">
        <v>44.918461538461536</v>
      </c>
      <c r="N17" s="8">
        <v>1237.905325443787</v>
      </c>
      <c r="O17" s="8">
        <v>1011334.6554909096</v>
      </c>
    </row>
    <row r="18" spans="2:15" x14ac:dyDescent="0.3">
      <c r="B18" t="s">
        <v>10</v>
      </c>
      <c r="C18" t="s">
        <v>12</v>
      </c>
      <c r="D18" s="2">
        <v>57.826666666666675</v>
      </c>
      <c r="E18" s="8">
        <v>308.22222222222223</v>
      </c>
      <c r="F18" s="8">
        <v>648125.98573333328</v>
      </c>
      <c r="G18" s="2">
        <v>25.327500000000001</v>
      </c>
      <c r="H18" s="8">
        <v>1245.5</v>
      </c>
      <c r="I18" s="8">
        <v>890232.18049166678</v>
      </c>
      <c r="J18" s="2"/>
      <c r="K18" s="8"/>
      <c r="L18" s="8"/>
      <c r="M18" s="2">
        <v>39.255714285714291</v>
      </c>
      <c r="N18" s="8">
        <v>843.83673469387759</v>
      </c>
      <c r="O18" s="8">
        <v>717650.44454761886</v>
      </c>
    </row>
    <row r="19" spans="2:15" x14ac:dyDescent="0.3">
      <c r="B19" t="s">
        <v>23</v>
      </c>
      <c r="D19" s="2"/>
      <c r="E19" s="8"/>
      <c r="F19" s="8"/>
      <c r="G19" s="2"/>
      <c r="H19" s="8"/>
      <c r="I19" s="8"/>
      <c r="J19" s="2"/>
      <c r="K19" s="8"/>
      <c r="L19" s="8"/>
      <c r="M19" s="2"/>
      <c r="N19" s="8"/>
      <c r="O19" s="8"/>
    </row>
    <row r="20" spans="2:15" x14ac:dyDescent="0.3">
      <c r="B20" t="s">
        <v>23</v>
      </c>
      <c r="C20" t="s">
        <v>17</v>
      </c>
      <c r="D20" s="2">
        <v>49.838000000000001</v>
      </c>
      <c r="E20" s="8">
        <v>1035.2</v>
      </c>
      <c r="F20" s="8">
        <v>1980671.3207200002</v>
      </c>
      <c r="G20" s="2"/>
      <c r="H20" s="8"/>
      <c r="I20" s="8"/>
      <c r="J20" s="2">
        <v>3.65</v>
      </c>
      <c r="K20" s="8">
        <v>0</v>
      </c>
      <c r="L20" s="8" t="e">
        <v>#DIV/0!</v>
      </c>
      <c r="M20" s="2">
        <v>42.14</v>
      </c>
      <c r="N20" s="8">
        <v>949.47222222222217</v>
      </c>
      <c r="O20" s="8">
        <v>1726744.3664000002</v>
      </c>
    </row>
    <row r="21" spans="2:15" x14ac:dyDescent="0.3">
      <c r="B21" t="s">
        <v>23</v>
      </c>
      <c r="C21" t="s">
        <v>20</v>
      </c>
      <c r="D21" s="2">
        <v>66.077500000000001</v>
      </c>
      <c r="E21" s="8">
        <v>1793.1875</v>
      </c>
      <c r="F21" s="8">
        <v>1811409.2667666667</v>
      </c>
      <c r="G21" s="2">
        <v>32.295000000000002</v>
      </c>
      <c r="H21" s="8">
        <v>0.25</v>
      </c>
      <c r="I21" s="8">
        <v>627760.12500000012</v>
      </c>
      <c r="J21" s="2">
        <v>21.06</v>
      </c>
      <c r="K21" s="8">
        <v>502.5</v>
      </c>
      <c r="L21" s="8">
        <v>173462.88055833336</v>
      </c>
      <c r="M21" s="2">
        <v>41.314</v>
      </c>
      <c r="N21" s="8">
        <v>929.56</v>
      </c>
      <c r="O21" s="8">
        <v>848327.69942333305</v>
      </c>
    </row>
    <row r="22" spans="2:15" x14ac:dyDescent="0.3">
      <c r="B22" t="s">
        <v>23</v>
      </c>
      <c r="C22" t="s">
        <v>12</v>
      </c>
      <c r="D22" s="2">
        <v>85.62</v>
      </c>
      <c r="E22" s="8">
        <v>0</v>
      </c>
      <c r="F22" s="8" t="e">
        <v>#DIV/0!</v>
      </c>
      <c r="G22" s="2">
        <v>35.25</v>
      </c>
      <c r="H22" s="8">
        <v>121</v>
      </c>
      <c r="I22" s="8">
        <v>1830358.4449999996</v>
      </c>
      <c r="J22" s="2">
        <v>31.945</v>
      </c>
      <c r="K22" s="8">
        <v>90.25</v>
      </c>
      <c r="L22" s="8">
        <v>359925.21680000017</v>
      </c>
      <c r="M22" s="2">
        <v>44.001999999999995</v>
      </c>
      <c r="N22" s="8">
        <v>206</v>
      </c>
      <c r="O22" s="8">
        <v>608078.7183200001</v>
      </c>
    </row>
    <row r="23" spans="2:15" x14ac:dyDescent="0.3">
      <c r="B23" t="s">
        <v>38</v>
      </c>
      <c r="D23" s="2"/>
      <c r="E23" s="8"/>
      <c r="F23" s="8"/>
      <c r="G23" s="2"/>
      <c r="H23" s="8"/>
      <c r="I23" s="8"/>
      <c r="J23" s="2"/>
      <c r="K23" s="8"/>
      <c r="L23" s="8"/>
      <c r="M23" s="2"/>
      <c r="N23" s="8"/>
      <c r="O23" s="8"/>
    </row>
    <row r="24" spans="2:15" x14ac:dyDescent="0.3">
      <c r="B24" t="s">
        <v>38</v>
      </c>
      <c r="C24" t="s">
        <v>17</v>
      </c>
      <c r="D24" s="2">
        <v>58.71</v>
      </c>
      <c r="E24" s="8">
        <v>0</v>
      </c>
      <c r="F24" s="8" t="e">
        <v>#DIV/0!</v>
      </c>
      <c r="G24" s="2">
        <v>67.72</v>
      </c>
      <c r="H24" s="8">
        <v>0</v>
      </c>
      <c r="I24" s="8" t="e">
        <v>#DIV/0!</v>
      </c>
      <c r="J24" s="2"/>
      <c r="K24" s="8"/>
      <c r="L24" s="8"/>
      <c r="M24" s="2">
        <v>63.215000000000003</v>
      </c>
      <c r="N24" s="8">
        <v>930.25</v>
      </c>
      <c r="O24" s="8">
        <v>3466186.5218000002</v>
      </c>
    </row>
    <row r="25" spans="2:15" x14ac:dyDescent="0.3">
      <c r="B25" t="s">
        <v>38</v>
      </c>
      <c r="C25" t="s">
        <v>20</v>
      </c>
      <c r="D25" s="2"/>
      <c r="E25" s="8"/>
      <c r="F25" s="8"/>
      <c r="G25" s="2"/>
      <c r="H25" s="8"/>
      <c r="I25" s="8"/>
      <c r="J25" s="2">
        <v>74.25</v>
      </c>
      <c r="K25" s="8">
        <v>0.25</v>
      </c>
      <c r="L25" s="8">
        <v>360646.75204999931</v>
      </c>
      <c r="M25" s="2">
        <v>74.25</v>
      </c>
      <c r="N25" s="8">
        <v>0.25</v>
      </c>
      <c r="O25" s="8">
        <v>360646.75204999931</v>
      </c>
    </row>
    <row r="26" spans="2:15" x14ac:dyDescent="0.3">
      <c r="B26" t="s">
        <v>38</v>
      </c>
      <c r="C26" t="s">
        <v>12</v>
      </c>
      <c r="D26" s="2"/>
      <c r="E26" s="8"/>
      <c r="F26" s="8"/>
      <c r="G26" s="2">
        <v>64.003333333333345</v>
      </c>
      <c r="H26" s="8">
        <v>451.55555555555554</v>
      </c>
      <c r="I26" s="8">
        <v>213620.56319999998</v>
      </c>
      <c r="J26" s="2">
        <v>16.510000000000002</v>
      </c>
      <c r="K26" s="8">
        <v>0</v>
      </c>
      <c r="L26" s="8" t="e">
        <v>#DIV/0!</v>
      </c>
      <c r="M26" s="2">
        <v>52.13</v>
      </c>
      <c r="N26" s="8">
        <v>614.1875</v>
      </c>
      <c r="O26" s="8">
        <v>192647.96570000006</v>
      </c>
    </row>
    <row r="27" spans="2:15" x14ac:dyDescent="0.3">
      <c r="B27" t="s">
        <v>28</v>
      </c>
      <c r="D27" s="2">
        <v>49.058333333333344</v>
      </c>
      <c r="E27" s="8">
        <v>1163.0640432098764</v>
      </c>
      <c r="F27" s="8">
        <v>1491786.5400196642</v>
      </c>
      <c r="G27" s="2">
        <v>38.154230769230772</v>
      </c>
      <c r="H27" s="8">
        <v>812.32544378698231</v>
      </c>
      <c r="I27" s="8">
        <v>751093.04536753858</v>
      </c>
      <c r="J27" s="2">
        <v>35.262857142857143</v>
      </c>
      <c r="K27" s="8">
        <v>697.73852040816325</v>
      </c>
      <c r="L27" s="8">
        <v>436777.95799515699</v>
      </c>
      <c r="M27" s="2">
        <v>41.616333333333323</v>
      </c>
      <c r="N27" s="8">
        <v>918.60543209876539</v>
      </c>
      <c r="O27" s="8">
        <v>957660.39717240119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31A4-B7A2-4210-86A6-F4BA48A45211}">
  <dimension ref="B4:D7"/>
  <sheetViews>
    <sheetView workbookViewId="0"/>
  </sheetViews>
  <sheetFormatPr defaultRowHeight="14.4" x14ac:dyDescent="0.3"/>
  <cols>
    <col min="2" max="2" width="10.5546875" bestFit="1" customWidth="1"/>
    <col min="3" max="3" width="15.21875" bestFit="1" customWidth="1"/>
    <col min="4" max="4" width="13.6640625" bestFit="1" customWidth="1"/>
  </cols>
  <sheetData>
    <row r="4" spans="2:4" x14ac:dyDescent="0.3">
      <c r="B4" s="4" t="s">
        <v>9</v>
      </c>
      <c r="C4" t="s">
        <v>47</v>
      </c>
      <c r="D4" t="s">
        <v>48</v>
      </c>
    </row>
    <row r="5" spans="2:4" x14ac:dyDescent="0.3">
      <c r="B5" t="s">
        <v>13</v>
      </c>
      <c r="C5" s="8">
        <v>29.921517230701369</v>
      </c>
      <c r="D5" s="2">
        <v>27.580832335405091</v>
      </c>
    </row>
    <row r="6" spans="2:4" x14ac:dyDescent="0.3">
      <c r="B6" t="s">
        <v>18</v>
      </c>
      <c r="C6" s="8">
        <v>30.791679844821868</v>
      </c>
      <c r="D6" s="2">
        <v>24.073124441539967</v>
      </c>
    </row>
    <row r="7" spans="2:4" x14ac:dyDescent="0.3">
      <c r="B7" t="s">
        <v>28</v>
      </c>
      <c r="C7" s="8">
        <v>30.308504286730571</v>
      </c>
      <c r="D7" s="2">
        <v>26.212473977525892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A5C17-62D7-4AB8-AE93-0B1850BDABF7}">
  <dimension ref="B4:I17"/>
  <sheetViews>
    <sheetView workbookViewId="0"/>
  </sheetViews>
  <sheetFormatPr defaultRowHeight="14.4" x14ac:dyDescent="0.3"/>
  <cols>
    <col min="2" max="2" width="12.44140625" bestFit="1" customWidth="1"/>
    <col min="3" max="3" width="6.5546875" bestFit="1" customWidth="1"/>
    <col min="4" max="9" width="12" bestFit="1" customWidth="1"/>
  </cols>
  <sheetData>
    <row r="4" spans="2:9" x14ac:dyDescent="0.3">
      <c r="B4" s="4" t="s">
        <v>39</v>
      </c>
      <c r="D4" s="4" t="s">
        <v>0</v>
      </c>
    </row>
    <row r="5" spans="2:9" x14ac:dyDescent="0.3">
      <c r="B5" s="4" t="s">
        <v>2</v>
      </c>
      <c r="C5" s="4" t="s">
        <v>8</v>
      </c>
      <c r="D5" t="s">
        <v>25</v>
      </c>
      <c r="E5" t="s">
        <v>14</v>
      </c>
      <c r="F5" t="s">
        <v>10</v>
      </c>
      <c r="G5" t="s">
        <v>23</v>
      </c>
      <c r="H5" t="s">
        <v>38</v>
      </c>
      <c r="I5" t="s">
        <v>28</v>
      </c>
    </row>
    <row r="6" spans="2:9" x14ac:dyDescent="0.3">
      <c r="B6" t="s">
        <v>15</v>
      </c>
      <c r="C6" t="s">
        <v>17</v>
      </c>
      <c r="D6" s="8">
        <v>754.88888888888891</v>
      </c>
      <c r="E6" s="8">
        <v>0</v>
      </c>
      <c r="F6" s="8">
        <v>221.36</v>
      </c>
      <c r="G6" s="8">
        <v>0</v>
      </c>
      <c r="H6" s="8"/>
      <c r="I6" s="8">
        <v>433.61</v>
      </c>
    </row>
    <row r="7" spans="2:9" x14ac:dyDescent="0.3">
      <c r="C7" t="s">
        <v>20</v>
      </c>
      <c r="D7" s="8">
        <v>0</v>
      </c>
      <c r="E7" s="8"/>
      <c r="F7" s="8">
        <v>1392.24</v>
      </c>
      <c r="G7" s="8">
        <v>502.5</v>
      </c>
      <c r="H7" s="8">
        <v>0.25</v>
      </c>
      <c r="I7" s="8">
        <v>841.57638888888891</v>
      </c>
    </row>
    <row r="8" spans="2:9" x14ac:dyDescent="0.3">
      <c r="C8" t="s">
        <v>12</v>
      </c>
      <c r="D8" s="8">
        <v>1</v>
      </c>
      <c r="E8" s="8">
        <v>0</v>
      </c>
      <c r="F8" s="8"/>
      <c r="G8" s="8">
        <v>90.25</v>
      </c>
      <c r="H8" s="8">
        <v>0</v>
      </c>
      <c r="I8" s="8">
        <v>595.47222222222217</v>
      </c>
    </row>
    <row r="9" spans="2:9" x14ac:dyDescent="0.3">
      <c r="B9" t="s">
        <v>34</v>
      </c>
      <c r="D9" s="8">
        <v>653</v>
      </c>
      <c r="E9" s="8">
        <v>380.25</v>
      </c>
      <c r="F9" s="8">
        <v>867.64</v>
      </c>
      <c r="G9" s="8">
        <v>402.69387755102042</v>
      </c>
      <c r="H9" s="8">
        <v>84.666666666666671</v>
      </c>
      <c r="I9" s="8">
        <v>697.73852040816325</v>
      </c>
    </row>
    <row r="10" spans="2:9" x14ac:dyDescent="0.3">
      <c r="B10" t="s">
        <v>22</v>
      </c>
      <c r="C10" t="s">
        <v>17</v>
      </c>
      <c r="D10" s="8">
        <v>289</v>
      </c>
      <c r="E10" s="8">
        <v>1806.25</v>
      </c>
      <c r="F10" s="8">
        <v>0</v>
      </c>
      <c r="G10" s="8"/>
      <c r="H10" s="8">
        <v>0</v>
      </c>
      <c r="I10" s="8">
        <v>807.13888888888891</v>
      </c>
    </row>
    <row r="11" spans="2:9" x14ac:dyDescent="0.3">
      <c r="C11" t="s">
        <v>20</v>
      </c>
      <c r="D11" s="8">
        <v>1454</v>
      </c>
      <c r="E11" s="8">
        <v>0</v>
      </c>
      <c r="F11" s="8">
        <v>344</v>
      </c>
      <c r="G11" s="8">
        <v>0.25</v>
      </c>
      <c r="H11" s="8"/>
      <c r="I11" s="8">
        <v>779.77777777777783</v>
      </c>
    </row>
    <row r="12" spans="2:9" x14ac:dyDescent="0.3">
      <c r="C12" t="s">
        <v>12</v>
      </c>
      <c r="D12" s="8">
        <v>0</v>
      </c>
      <c r="E12" s="8">
        <v>0</v>
      </c>
      <c r="F12" s="8">
        <v>1245.5</v>
      </c>
      <c r="G12" s="8">
        <v>121</v>
      </c>
      <c r="H12" s="8">
        <v>451.55555555555554</v>
      </c>
      <c r="I12" s="8">
        <v>799.68595041322317</v>
      </c>
    </row>
    <row r="13" spans="2:9" x14ac:dyDescent="0.3">
      <c r="B13" t="s">
        <v>33</v>
      </c>
      <c r="D13" s="8">
        <v>913.22222222222217</v>
      </c>
      <c r="E13" s="8">
        <v>1078.25</v>
      </c>
      <c r="F13" s="8">
        <v>804.859375</v>
      </c>
      <c r="G13" s="8">
        <v>263.6875</v>
      </c>
      <c r="H13" s="8">
        <v>404</v>
      </c>
      <c r="I13" s="8">
        <v>812.32544378698231</v>
      </c>
    </row>
    <row r="14" spans="2:9" x14ac:dyDescent="0.3">
      <c r="B14" t="s">
        <v>11</v>
      </c>
      <c r="C14" t="s">
        <v>17</v>
      </c>
      <c r="D14" s="8">
        <v>756.25</v>
      </c>
      <c r="E14" s="8">
        <v>459.6875</v>
      </c>
      <c r="F14" s="8">
        <v>0</v>
      </c>
      <c r="G14" s="8">
        <v>1035.2</v>
      </c>
      <c r="H14" s="8">
        <v>0</v>
      </c>
      <c r="I14" s="8">
        <v>957.32544378698231</v>
      </c>
    </row>
    <row r="15" spans="2:9" x14ac:dyDescent="0.3">
      <c r="C15" t="s">
        <v>20</v>
      </c>
      <c r="D15" s="8">
        <v>1736.6875</v>
      </c>
      <c r="E15" s="8"/>
      <c r="F15" s="8">
        <v>1463.04</v>
      </c>
      <c r="G15" s="8">
        <v>1793.1875</v>
      </c>
      <c r="H15" s="8"/>
      <c r="I15" s="8">
        <v>1651.7159763313609</v>
      </c>
    </row>
    <row r="16" spans="2:9" x14ac:dyDescent="0.3">
      <c r="C16" t="s">
        <v>12</v>
      </c>
      <c r="D16" s="8">
        <v>0</v>
      </c>
      <c r="E16" s="8">
        <v>1172.4000000000001</v>
      </c>
      <c r="F16" s="8">
        <v>308.22222222222223</v>
      </c>
      <c r="G16" s="8">
        <v>0</v>
      </c>
      <c r="H16" s="8"/>
      <c r="I16" s="8">
        <v>789.76</v>
      </c>
    </row>
    <row r="17" spans="2:9" x14ac:dyDescent="0.3">
      <c r="B17" t="s">
        <v>32</v>
      </c>
      <c r="D17" s="8">
        <v>1311.0612244897959</v>
      </c>
      <c r="E17" s="8">
        <v>909.35802469135797</v>
      </c>
      <c r="F17" s="8">
        <v>929.80246913580243</v>
      </c>
      <c r="G17" s="8">
        <v>1286.04</v>
      </c>
      <c r="H17" s="8">
        <v>0</v>
      </c>
      <c r="I17" s="8">
        <v>1163.0640432098764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32C11-91C8-4CA1-9CD6-03A059F3B07E}">
  <dimension ref="B4:U8"/>
  <sheetViews>
    <sheetView workbookViewId="0"/>
  </sheetViews>
  <sheetFormatPr defaultRowHeight="14.4" x14ac:dyDescent="0.3"/>
  <cols>
    <col min="2" max="5" width="33.109375" bestFit="1" customWidth="1"/>
    <col min="6" max="6" width="61.88671875" bestFit="1" customWidth="1"/>
    <col min="7" max="7" width="16.44140625" bestFit="1" customWidth="1"/>
    <col min="8" max="11" width="30.109375" bestFit="1" customWidth="1"/>
    <col min="12" max="12" width="43.44140625" bestFit="1" customWidth="1"/>
    <col min="13" max="13" width="17.21875" bestFit="1" customWidth="1"/>
    <col min="14" max="17" width="28" bestFit="1" customWidth="1"/>
    <col min="18" max="18" width="45.44140625" bestFit="1" customWidth="1"/>
    <col min="19" max="19" width="15.88671875" bestFit="1" customWidth="1"/>
    <col min="20" max="20" width="143.109375" bestFit="1" customWidth="1"/>
    <col min="21" max="21" width="15.109375" bestFit="1" customWidth="1"/>
  </cols>
  <sheetData>
    <row r="4" spans="2:21" x14ac:dyDescent="0.3">
      <c r="B4" s="4" t="s">
        <v>37</v>
      </c>
    </row>
    <row r="5" spans="2:21" x14ac:dyDescent="0.3">
      <c r="B5" t="s">
        <v>11</v>
      </c>
      <c r="F5" t="s">
        <v>50</v>
      </c>
      <c r="G5" t="s">
        <v>51</v>
      </c>
      <c r="H5" t="s">
        <v>22</v>
      </c>
      <c r="L5" t="s">
        <v>52</v>
      </c>
      <c r="M5" t="s">
        <v>53</v>
      </c>
      <c r="N5" t="s">
        <v>15</v>
      </c>
      <c r="R5" t="s">
        <v>54</v>
      </c>
      <c r="S5" t="s">
        <v>55</v>
      </c>
      <c r="T5" t="s">
        <v>56</v>
      </c>
      <c r="U5" t="s">
        <v>57</v>
      </c>
    </row>
    <row r="6" spans="2:21" x14ac:dyDescent="0.3">
      <c r="B6" t="s">
        <v>18</v>
      </c>
      <c r="D6" t="s">
        <v>13</v>
      </c>
      <c r="H6" t="s">
        <v>18</v>
      </c>
      <c r="J6" t="s">
        <v>13</v>
      </c>
      <c r="N6" t="s">
        <v>18</v>
      </c>
      <c r="P6" t="s">
        <v>13</v>
      </c>
    </row>
    <row r="7" spans="2:21" x14ac:dyDescent="0.3">
      <c r="B7" t="s">
        <v>49</v>
      </c>
      <c r="C7" t="s">
        <v>58</v>
      </c>
      <c r="D7" t="s">
        <v>49</v>
      </c>
      <c r="E7" t="s">
        <v>58</v>
      </c>
      <c r="H7" t="s">
        <v>49</v>
      </c>
      <c r="I7" t="s">
        <v>58</v>
      </c>
      <c r="J7" t="s">
        <v>49</v>
      </c>
      <c r="K7" t="s">
        <v>58</v>
      </c>
      <c r="N7" t="s">
        <v>49</v>
      </c>
      <c r="O7" t="s">
        <v>58</v>
      </c>
      <c r="P7" t="s">
        <v>49</v>
      </c>
      <c r="Q7" t="s">
        <v>58</v>
      </c>
    </row>
    <row r="8" spans="2:21" x14ac:dyDescent="0.3">
      <c r="B8" s="2">
        <v>3.0678575046511093E+27</v>
      </c>
      <c r="C8" s="8">
        <v>2</v>
      </c>
      <c r="D8" s="2">
        <v>7.7415159380488139E+28</v>
      </c>
      <c r="E8" s="8">
        <v>2</v>
      </c>
      <c r="F8" s="2">
        <v>2.374986776791922E+56</v>
      </c>
      <c r="G8" s="8">
        <v>2</v>
      </c>
      <c r="H8" s="2">
        <v>5278907862263.2266</v>
      </c>
      <c r="I8" s="8">
        <v>2</v>
      </c>
      <c r="J8" s="2">
        <v>5.8209381887647972E+25</v>
      </c>
      <c r="K8" s="8">
        <v>1</v>
      </c>
      <c r="L8" s="2">
        <v>3.0728196370418757E+38</v>
      </c>
      <c r="M8" s="8">
        <v>1</v>
      </c>
      <c r="N8" s="2">
        <v>2.8671948496667932E+16</v>
      </c>
      <c r="O8" s="8">
        <v>3</v>
      </c>
      <c r="P8" s="2">
        <v>7.104940049757142E+23</v>
      </c>
      <c r="Q8" s="8">
        <v>3</v>
      </c>
      <c r="R8" s="2">
        <v>2.037124751785501E+40</v>
      </c>
      <c r="S8" s="8">
        <v>3</v>
      </c>
      <c r="T8" s="2">
        <v>1.4866744959887927E+135</v>
      </c>
      <c r="U8" s="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7D2EB-25AF-4001-BA14-0633BE43F588}">
  <dimension ref="B4:F23"/>
  <sheetViews>
    <sheetView workbookViewId="0"/>
  </sheetViews>
  <sheetFormatPr defaultRowHeight="14.4" x14ac:dyDescent="0.3"/>
  <cols>
    <col min="2" max="2" width="12.44140625" bestFit="1" customWidth="1"/>
    <col min="3" max="3" width="6.5546875" bestFit="1" customWidth="1"/>
    <col min="4" max="6" width="12" bestFit="1" customWidth="1"/>
  </cols>
  <sheetData>
    <row r="4" spans="2:6" x14ac:dyDescent="0.3">
      <c r="B4" s="4" t="s">
        <v>59</v>
      </c>
      <c r="D4" s="4" t="s">
        <v>9</v>
      </c>
    </row>
    <row r="5" spans="2:6" x14ac:dyDescent="0.3">
      <c r="B5" s="4" t="s">
        <v>1</v>
      </c>
      <c r="C5" s="4" t="s">
        <v>8</v>
      </c>
      <c r="D5" t="s">
        <v>18</v>
      </c>
      <c r="E5" t="s">
        <v>13</v>
      </c>
      <c r="F5" t="s">
        <v>28</v>
      </c>
    </row>
    <row r="6" spans="2:6" x14ac:dyDescent="0.3">
      <c r="B6" t="s">
        <v>21</v>
      </c>
      <c r="C6" t="s">
        <v>12</v>
      </c>
      <c r="D6" s="8">
        <v>0</v>
      </c>
      <c r="E6" s="8">
        <v>2017990.7136000004</v>
      </c>
      <c r="F6" s="8">
        <v>2039499.021600001</v>
      </c>
    </row>
    <row r="7" spans="2:6" x14ac:dyDescent="0.3">
      <c r="C7" t="s">
        <v>20</v>
      </c>
      <c r="D7" s="8">
        <v>1708470.1056499998</v>
      </c>
      <c r="E7" s="8">
        <v>950167.01182222238</v>
      </c>
      <c r="F7" s="8">
        <v>1401657.1487714287</v>
      </c>
    </row>
    <row r="8" spans="2:6" x14ac:dyDescent="0.3">
      <c r="C8" t="s">
        <v>17</v>
      </c>
      <c r="D8" s="8">
        <v>2569031.9524000008</v>
      </c>
      <c r="E8" s="8">
        <v>317878.03646400018</v>
      </c>
      <c r="F8" s="8">
        <v>1065988.6011551013</v>
      </c>
    </row>
    <row r="9" spans="2:6" x14ac:dyDescent="0.3">
      <c r="B9" t="s">
        <v>19</v>
      </c>
      <c r="C9" t="s">
        <v>12</v>
      </c>
      <c r="D9" s="8">
        <v>144825.91359999991</v>
      </c>
      <c r="E9" s="8">
        <v>294.29402499989374</v>
      </c>
      <c r="F9" s="8">
        <v>73442.342318749928</v>
      </c>
    </row>
    <row r="10" spans="2:6" x14ac:dyDescent="0.3">
      <c r="C10" t="s">
        <v>20</v>
      </c>
      <c r="D10" s="8">
        <v>23392.173024999996</v>
      </c>
      <c r="E10" s="8">
        <v>546653.20959999994</v>
      </c>
      <c r="F10" s="8">
        <v>321903.01311875001</v>
      </c>
    </row>
    <row r="11" spans="2:6" x14ac:dyDescent="0.3">
      <c r="C11" t="s">
        <v>17</v>
      </c>
      <c r="D11" s="8">
        <v>0</v>
      </c>
      <c r="E11" s="8">
        <v>21129.529599999951</v>
      </c>
      <c r="F11" s="8">
        <v>18296.913622222219</v>
      </c>
    </row>
    <row r="12" spans="2:6" x14ac:dyDescent="0.3">
      <c r="B12" t="s">
        <v>24</v>
      </c>
      <c r="C12" t="s">
        <v>12</v>
      </c>
      <c r="D12" s="8">
        <v>0</v>
      </c>
      <c r="E12" s="8">
        <v>92793.34440000006</v>
      </c>
      <c r="F12" s="8">
        <v>1401790.383288889</v>
      </c>
    </row>
    <row r="13" spans="2:6" x14ac:dyDescent="0.3">
      <c r="C13" t="s">
        <v>20</v>
      </c>
      <c r="D13" s="8">
        <v>140229.15306666665</v>
      </c>
      <c r="E13" s="8">
        <v>1159117.5438888888</v>
      </c>
      <c r="F13" s="8">
        <v>732543.44494722201</v>
      </c>
    </row>
    <row r="14" spans="2:6" x14ac:dyDescent="0.3">
      <c r="C14" t="s">
        <v>17</v>
      </c>
      <c r="D14" s="8">
        <v>46956.723025000007</v>
      </c>
      <c r="E14" s="8">
        <v>4954.0482249999186</v>
      </c>
      <c r="F14" s="8">
        <v>109178.98084999999</v>
      </c>
    </row>
    <row r="15" spans="2:6" x14ac:dyDescent="0.3">
      <c r="B15" t="s">
        <v>3</v>
      </c>
      <c r="C15" t="s">
        <v>12</v>
      </c>
      <c r="D15" s="8">
        <v>41395.97159999999</v>
      </c>
      <c r="E15" s="8">
        <v>610442.79087499995</v>
      </c>
      <c r="F15" s="8">
        <v>422534.01605555572</v>
      </c>
    </row>
    <row r="16" spans="2:6" x14ac:dyDescent="0.3">
      <c r="C16" t="s">
        <v>20</v>
      </c>
      <c r="D16" s="8">
        <v>96236.44840000011</v>
      </c>
      <c r="E16" s="8">
        <v>1264536.1177999999</v>
      </c>
      <c r="F16" s="8">
        <v>972071.77170399961</v>
      </c>
    </row>
    <row r="17" spans="2:6" x14ac:dyDescent="0.3">
      <c r="C17" t="s">
        <v>17</v>
      </c>
      <c r="D17" s="8">
        <v>3965.7464666666701</v>
      </c>
      <c r="E17" s="8">
        <v>0</v>
      </c>
      <c r="F17" s="8">
        <v>4248.9353187499983</v>
      </c>
    </row>
    <row r="18" spans="2:6" x14ac:dyDescent="0.3">
      <c r="B18" t="s">
        <v>26</v>
      </c>
      <c r="C18" t="s">
        <v>12</v>
      </c>
      <c r="D18" s="8">
        <v>119076.75562499999</v>
      </c>
      <c r="E18" s="8">
        <v>911671.42160000035</v>
      </c>
      <c r="F18" s="8">
        <v>601944.54710399988</v>
      </c>
    </row>
    <row r="19" spans="2:6" x14ac:dyDescent="0.3">
      <c r="C19" t="s">
        <v>20</v>
      </c>
      <c r="D19" s="8">
        <v>0</v>
      </c>
      <c r="E19" s="8">
        <v>2906716.5120640006</v>
      </c>
      <c r="F19" s="8">
        <v>2778176.7387222219</v>
      </c>
    </row>
    <row r="20" spans="2:6" x14ac:dyDescent="0.3">
      <c r="C20" t="s">
        <v>17</v>
      </c>
      <c r="D20" s="8">
        <v>639682.25819999969</v>
      </c>
      <c r="E20" s="8">
        <v>218825.27720000013</v>
      </c>
      <c r="F20" s="8">
        <v>665793.60544081614</v>
      </c>
    </row>
    <row r="21" spans="2:6" x14ac:dyDescent="0.3">
      <c r="B21" t="s">
        <v>16</v>
      </c>
      <c r="C21" t="s">
        <v>12</v>
      </c>
      <c r="D21" s="8">
        <v>0</v>
      </c>
      <c r="E21" s="8">
        <v>434800.22190000024</v>
      </c>
      <c r="F21" s="8">
        <v>462189.65785599948</v>
      </c>
    </row>
    <row r="22" spans="2:6" x14ac:dyDescent="0.3">
      <c r="C22" t="s">
        <v>20</v>
      </c>
      <c r="D22" s="8">
        <v>257014.12886666632</v>
      </c>
      <c r="E22" s="8">
        <v>58646.308900000062</v>
      </c>
      <c r="F22" s="8">
        <v>194241.06106399998</v>
      </c>
    </row>
    <row r="23" spans="2:6" x14ac:dyDescent="0.3">
      <c r="C23" t="s">
        <v>17</v>
      </c>
      <c r="D23" s="8">
        <v>50670.369088889049</v>
      </c>
      <c r="E23" s="8">
        <v>0</v>
      </c>
      <c r="F23" s="8">
        <v>102385.86436875013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B66BC-2966-41E0-9EA8-2324F0AB7174}">
  <dimension ref="B4:E84"/>
  <sheetViews>
    <sheetView workbookViewId="0"/>
  </sheetViews>
  <sheetFormatPr defaultRowHeight="14.4" x14ac:dyDescent="0.3"/>
  <cols>
    <col min="2" max="2" width="12.44140625" bestFit="1" customWidth="1"/>
    <col min="3" max="3" width="143.109375" bestFit="1" customWidth="1"/>
    <col min="4" max="4" width="12.88671875" bestFit="1" customWidth="1"/>
    <col min="5" max="5" width="14.21875" bestFit="1" customWidth="1"/>
  </cols>
  <sheetData>
    <row r="4" spans="2:5" x14ac:dyDescent="0.3">
      <c r="B4" s="4" t="s">
        <v>27</v>
      </c>
      <c r="C4" t="s">
        <v>49</v>
      </c>
      <c r="D4" t="s">
        <v>60</v>
      </c>
      <c r="E4" t="s">
        <v>59</v>
      </c>
    </row>
    <row r="5" spans="2:5" x14ac:dyDescent="0.3">
      <c r="B5" s="5" t="s">
        <v>17</v>
      </c>
      <c r="C5" s="2">
        <v>4.5337863056497297E+42</v>
      </c>
      <c r="D5" s="8">
        <v>29</v>
      </c>
      <c r="E5" s="8">
        <v>617614.24368347193</v>
      </c>
    </row>
    <row r="6" spans="2:5" x14ac:dyDescent="0.3">
      <c r="B6" s="6" t="s">
        <v>21</v>
      </c>
      <c r="C6" s="2">
        <v>384266300822.69257</v>
      </c>
      <c r="D6" s="8">
        <v>7</v>
      </c>
      <c r="E6" s="8">
        <v>1065988.601155102</v>
      </c>
    </row>
    <row r="7" spans="2:5" x14ac:dyDescent="0.3">
      <c r="B7" s="7" t="s">
        <v>25</v>
      </c>
      <c r="C7" s="2">
        <v>54.55</v>
      </c>
      <c r="D7" s="8">
        <v>1</v>
      </c>
      <c r="E7" s="8">
        <v>0</v>
      </c>
    </row>
    <row r="8" spans="2:5" x14ac:dyDescent="0.3">
      <c r="B8" s="7" t="s">
        <v>14</v>
      </c>
      <c r="C8" s="2">
        <v>4416655.4586000005</v>
      </c>
      <c r="D8" s="8">
        <v>4</v>
      </c>
      <c r="E8" s="8">
        <v>392835.98816874996</v>
      </c>
    </row>
    <row r="9" spans="2:5" x14ac:dyDescent="0.3">
      <c r="B9" s="7" t="s">
        <v>10</v>
      </c>
      <c r="C9" s="2">
        <v>22.36</v>
      </c>
      <c r="D9" s="8">
        <v>1</v>
      </c>
      <c r="E9" s="8">
        <v>0</v>
      </c>
    </row>
    <row r="10" spans="2:5" x14ac:dyDescent="0.3">
      <c r="B10" s="7" t="s">
        <v>23</v>
      </c>
      <c r="C10" s="2">
        <v>71.33</v>
      </c>
      <c r="D10" s="8">
        <v>1</v>
      </c>
      <c r="E10" s="8">
        <v>0</v>
      </c>
    </row>
    <row r="11" spans="2:5" x14ac:dyDescent="0.3">
      <c r="B11" s="6" t="s">
        <v>19</v>
      </c>
      <c r="C11" s="2">
        <v>22044.069320000002</v>
      </c>
      <c r="D11" s="8">
        <v>3</v>
      </c>
      <c r="E11" s="8">
        <v>18296.913622222219</v>
      </c>
    </row>
    <row r="12" spans="2:5" x14ac:dyDescent="0.3">
      <c r="B12" s="7" t="s">
        <v>10</v>
      </c>
      <c r="C12" s="2">
        <v>414.596</v>
      </c>
      <c r="D12" s="8">
        <v>2</v>
      </c>
      <c r="E12" s="8">
        <v>21129.529599999951</v>
      </c>
    </row>
    <row r="13" spans="2:5" x14ac:dyDescent="0.3">
      <c r="B13" s="7" t="s">
        <v>23</v>
      </c>
      <c r="C13" s="2">
        <v>53.17</v>
      </c>
      <c r="D13" s="8">
        <v>1</v>
      </c>
      <c r="E13" s="8">
        <v>0</v>
      </c>
    </row>
    <row r="14" spans="2:5" x14ac:dyDescent="0.3">
      <c r="B14" s="6" t="s">
        <v>24</v>
      </c>
      <c r="C14" s="2">
        <v>371185.04530799994</v>
      </c>
      <c r="D14" s="8">
        <v>4</v>
      </c>
      <c r="E14" s="8">
        <v>109178.98084999999</v>
      </c>
    </row>
    <row r="15" spans="2:5" x14ac:dyDescent="0.3">
      <c r="B15" s="7" t="s">
        <v>25</v>
      </c>
      <c r="C15" s="2">
        <v>21580.525889999997</v>
      </c>
      <c r="D15" s="8">
        <v>3</v>
      </c>
      <c r="E15" s="8">
        <v>32146.715622222153</v>
      </c>
    </row>
    <row r="16" spans="2:5" x14ac:dyDescent="0.3">
      <c r="B16" s="7" t="s">
        <v>23</v>
      </c>
      <c r="C16" s="2">
        <v>17.2</v>
      </c>
      <c r="D16" s="8">
        <v>1</v>
      </c>
      <c r="E16" s="8">
        <v>0</v>
      </c>
    </row>
    <row r="17" spans="2:5" x14ac:dyDescent="0.3">
      <c r="B17" s="6" t="s">
        <v>3</v>
      </c>
      <c r="C17" s="2">
        <v>238308.26464800004</v>
      </c>
      <c r="D17" s="8">
        <v>4</v>
      </c>
      <c r="E17" s="8">
        <v>4248.9353187499983</v>
      </c>
    </row>
    <row r="18" spans="2:5" x14ac:dyDescent="0.3">
      <c r="B18" s="7" t="s">
        <v>25</v>
      </c>
      <c r="C18" s="2">
        <v>15.8</v>
      </c>
      <c r="D18" s="8">
        <v>1</v>
      </c>
      <c r="E18" s="8">
        <v>0</v>
      </c>
    </row>
    <row r="19" spans="2:5" x14ac:dyDescent="0.3">
      <c r="B19" s="7" t="s">
        <v>10</v>
      </c>
      <c r="C19" s="2">
        <v>61.02</v>
      </c>
      <c r="D19" s="8">
        <v>1</v>
      </c>
      <c r="E19" s="8">
        <v>0</v>
      </c>
    </row>
    <row r="20" spans="2:5" x14ac:dyDescent="0.3">
      <c r="B20" s="7" t="s">
        <v>23</v>
      </c>
      <c r="C20" s="2">
        <v>3.65</v>
      </c>
      <c r="D20" s="8">
        <v>1</v>
      </c>
      <c r="E20" s="8">
        <v>0</v>
      </c>
    </row>
    <row r="21" spans="2:5" x14ac:dyDescent="0.3">
      <c r="B21" s="7" t="s">
        <v>38</v>
      </c>
      <c r="C21" s="2">
        <v>67.72</v>
      </c>
      <c r="D21" s="8">
        <v>1</v>
      </c>
      <c r="E21" s="8">
        <v>0</v>
      </c>
    </row>
    <row r="22" spans="2:5" x14ac:dyDescent="0.3">
      <c r="B22" s="6" t="s">
        <v>26</v>
      </c>
      <c r="C22" s="2">
        <v>57329457957.810524</v>
      </c>
      <c r="D22" s="8">
        <v>7</v>
      </c>
      <c r="E22" s="8">
        <v>665793.60544081614</v>
      </c>
    </row>
    <row r="23" spans="2:5" x14ac:dyDescent="0.3">
      <c r="B23" s="7" t="s">
        <v>25</v>
      </c>
      <c r="C23" s="2">
        <v>195.82250000000002</v>
      </c>
      <c r="D23" s="8">
        <v>2</v>
      </c>
      <c r="E23" s="8">
        <v>94285.843599999993</v>
      </c>
    </row>
    <row r="24" spans="2:5" x14ac:dyDescent="0.3">
      <c r="B24" s="7" t="s">
        <v>14</v>
      </c>
      <c r="C24" s="2">
        <v>1089.5103999999999</v>
      </c>
      <c r="D24" s="8">
        <v>2</v>
      </c>
      <c r="E24" s="8">
        <v>3946.3523999999743</v>
      </c>
    </row>
    <row r="25" spans="2:5" x14ac:dyDescent="0.3">
      <c r="B25" s="7" t="s">
        <v>10</v>
      </c>
      <c r="C25" s="2">
        <v>60.27</v>
      </c>
      <c r="D25" s="8">
        <v>1</v>
      </c>
      <c r="E25" s="8">
        <v>0</v>
      </c>
    </row>
    <row r="26" spans="2:5" x14ac:dyDescent="0.3">
      <c r="B26" s="7" t="s">
        <v>23</v>
      </c>
      <c r="C26" s="2">
        <v>75.94</v>
      </c>
      <c r="D26" s="8">
        <v>1</v>
      </c>
      <c r="E26" s="8">
        <v>0</v>
      </c>
    </row>
    <row r="27" spans="2:5" x14ac:dyDescent="0.3">
      <c r="B27" s="7" t="s">
        <v>38</v>
      </c>
      <c r="C27" s="2">
        <v>58.71</v>
      </c>
      <c r="D27" s="8">
        <v>1</v>
      </c>
      <c r="E27" s="8">
        <v>0</v>
      </c>
    </row>
    <row r="28" spans="2:5" x14ac:dyDescent="0.3">
      <c r="B28" s="6" t="s">
        <v>16</v>
      </c>
      <c r="C28" s="2">
        <v>105543.03250599999</v>
      </c>
      <c r="D28" s="8">
        <v>4</v>
      </c>
      <c r="E28" s="8">
        <v>102385.86436874996</v>
      </c>
    </row>
    <row r="29" spans="2:5" x14ac:dyDescent="0.3">
      <c r="B29" s="7" t="s">
        <v>14</v>
      </c>
      <c r="C29" s="2">
        <v>11.08</v>
      </c>
      <c r="D29" s="8">
        <v>1</v>
      </c>
      <c r="E29" s="8">
        <v>0</v>
      </c>
    </row>
    <row r="30" spans="2:5" x14ac:dyDescent="0.3">
      <c r="B30" s="7" t="s">
        <v>10</v>
      </c>
      <c r="C30" s="2">
        <v>301.91899999999998</v>
      </c>
      <c r="D30" s="8">
        <v>2</v>
      </c>
      <c r="E30" s="8">
        <v>20567.862225000048</v>
      </c>
    </row>
    <row r="31" spans="2:5" x14ac:dyDescent="0.3">
      <c r="B31" s="7" t="s">
        <v>23</v>
      </c>
      <c r="C31" s="2">
        <v>31.55</v>
      </c>
      <c r="D31" s="8">
        <v>1</v>
      </c>
      <c r="E31" s="8">
        <v>0</v>
      </c>
    </row>
    <row r="32" spans="2:5" x14ac:dyDescent="0.3">
      <c r="B32" s="5" t="s">
        <v>20</v>
      </c>
      <c r="C32" s="2">
        <v>1.7816668876597945E+51</v>
      </c>
      <c r="D32" s="8">
        <v>34</v>
      </c>
      <c r="E32" s="8">
        <v>1239983.9931456377</v>
      </c>
    </row>
    <row r="33" spans="2:5" x14ac:dyDescent="0.3">
      <c r="B33" s="6" t="s">
        <v>21</v>
      </c>
      <c r="C33" s="2">
        <v>3444379204.6766415</v>
      </c>
      <c r="D33" s="8">
        <v>7</v>
      </c>
      <c r="E33" s="8">
        <v>1401657.1487714287</v>
      </c>
    </row>
    <row r="34" spans="2:5" x14ac:dyDescent="0.3">
      <c r="B34" s="7" t="s">
        <v>25</v>
      </c>
      <c r="C34" s="2">
        <v>7.48</v>
      </c>
      <c r="D34" s="8">
        <v>1</v>
      </c>
      <c r="E34" s="8">
        <v>0</v>
      </c>
    </row>
    <row r="35" spans="2:5" x14ac:dyDescent="0.3">
      <c r="B35" s="7" t="s">
        <v>10</v>
      </c>
      <c r="C35" s="2">
        <v>7056.0278879999996</v>
      </c>
      <c r="D35" s="8">
        <v>3</v>
      </c>
      <c r="E35" s="8">
        <v>1374020.7492666671</v>
      </c>
    </row>
    <row r="36" spans="2:5" x14ac:dyDescent="0.3">
      <c r="B36" s="7" t="s">
        <v>23</v>
      </c>
      <c r="C36" s="2">
        <v>1104.0483999999999</v>
      </c>
      <c r="D36" s="8">
        <v>2</v>
      </c>
      <c r="E36" s="8">
        <v>1699946.5924000004</v>
      </c>
    </row>
    <row r="37" spans="2:5" x14ac:dyDescent="0.3">
      <c r="B37" s="7" t="s">
        <v>38</v>
      </c>
      <c r="C37" s="2">
        <v>59.11</v>
      </c>
      <c r="D37" s="8">
        <v>1</v>
      </c>
      <c r="E37" s="8">
        <v>0</v>
      </c>
    </row>
    <row r="38" spans="2:5" x14ac:dyDescent="0.3">
      <c r="B38" s="6" t="s">
        <v>19</v>
      </c>
      <c r="C38" s="2">
        <v>51510187.884965591</v>
      </c>
      <c r="D38" s="8">
        <v>5</v>
      </c>
      <c r="E38" s="8">
        <v>321903.01311875001</v>
      </c>
    </row>
    <row r="39" spans="2:5" x14ac:dyDescent="0.3">
      <c r="B39" s="7" t="s">
        <v>25</v>
      </c>
      <c r="C39" s="2">
        <v>33762.825949999999</v>
      </c>
      <c r="D39" s="8">
        <v>3</v>
      </c>
      <c r="E39" s="8">
        <v>428524.63326666667</v>
      </c>
    </row>
    <row r="40" spans="2:5" x14ac:dyDescent="0.3">
      <c r="B40" s="7" t="s">
        <v>10</v>
      </c>
      <c r="C40" s="2">
        <v>1525.6479999999999</v>
      </c>
      <c r="D40" s="8">
        <v>2</v>
      </c>
      <c r="E40" s="8">
        <v>0</v>
      </c>
    </row>
    <row r="41" spans="2:5" x14ac:dyDescent="0.3">
      <c r="B41" s="6" t="s">
        <v>24</v>
      </c>
      <c r="C41" s="2">
        <v>13307872548.184174</v>
      </c>
      <c r="D41" s="8">
        <v>6</v>
      </c>
      <c r="E41" s="8">
        <v>732543.44494722201</v>
      </c>
    </row>
    <row r="42" spans="2:5" x14ac:dyDescent="0.3">
      <c r="B42" s="7" t="s">
        <v>10</v>
      </c>
      <c r="C42" s="2">
        <v>57.45</v>
      </c>
      <c r="D42" s="8">
        <v>1</v>
      </c>
      <c r="E42" s="8">
        <v>0</v>
      </c>
    </row>
    <row r="43" spans="2:5" x14ac:dyDescent="0.3">
      <c r="B43" s="7" t="s">
        <v>23</v>
      </c>
      <c r="C43" s="2">
        <v>2591371.4076938597</v>
      </c>
      <c r="D43" s="8">
        <v>4</v>
      </c>
      <c r="E43" s="8">
        <v>107337.04947500001</v>
      </c>
    </row>
    <row r="44" spans="2:5" x14ac:dyDescent="0.3">
      <c r="B44" s="7" t="s">
        <v>38</v>
      </c>
      <c r="C44" s="2">
        <v>89.39</v>
      </c>
      <c r="D44" s="8">
        <v>1</v>
      </c>
      <c r="E44" s="8">
        <v>0</v>
      </c>
    </row>
    <row r="45" spans="2:5" x14ac:dyDescent="0.3">
      <c r="B45" s="6" t="s">
        <v>3</v>
      </c>
      <c r="C45" s="2">
        <v>18524878.302313697</v>
      </c>
      <c r="D45" s="8">
        <v>5</v>
      </c>
      <c r="E45" s="8">
        <v>972071.77170399961</v>
      </c>
    </row>
    <row r="46" spans="2:5" x14ac:dyDescent="0.3">
      <c r="B46" s="7" t="s">
        <v>25</v>
      </c>
      <c r="C46" s="2">
        <v>64.010000000000005</v>
      </c>
      <c r="D46" s="8">
        <v>1</v>
      </c>
      <c r="E46" s="8">
        <v>0</v>
      </c>
    </row>
    <row r="47" spans="2:5" x14ac:dyDescent="0.3">
      <c r="B47" s="7" t="s">
        <v>10</v>
      </c>
      <c r="C47" s="2">
        <v>39214.905662000005</v>
      </c>
      <c r="D47" s="8">
        <v>3</v>
      </c>
      <c r="E47" s="8">
        <v>976118.77095555514</v>
      </c>
    </row>
    <row r="48" spans="2:5" x14ac:dyDescent="0.3">
      <c r="B48" s="7" t="s">
        <v>23</v>
      </c>
      <c r="C48" s="2">
        <v>7.38</v>
      </c>
      <c r="D48" s="8">
        <v>1</v>
      </c>
      <c r="E48" s="8">
        <v>0</v>
      </c>
    </row>
    <row r="49" spans="2:5" x14ac:dyDescent="0.3">
      <c r="B49" s="6" t="s">
        <v>26</v>
      </c>
      <c r="C49" s="2">
        <v>686389355.02344799</v>
      </c>
      <c r="D49" s="8">
        <v>6</v>
      </c>
      <c r="E49" s="8">
        <v>2778176.7387222219</v>
      </c>
    </row>
    <row r="50" spans="2:5" x14ac:dyDescent="0.3">
      <c r="B50" s="7" t="s">
        <v>25</v>
      </c>
      <c r="C50" s="2">
        <v>153490.28822399999</v>
      </c>
      <c r="D50" s="8">
        <v>3</v>
      </c>
      <c r="E50" s="8">
        <v>3782406.4650666681</v>
      </c>
    </row>
    <row r="51" spans="2:5" x14ac:dyDescent="0.3">
      <c r="B51" s="7" t="s">
        <v>14</v>
      </c>
      <c r="C51" s="2">
        <v>4.3499999999999996</v>
      </c>
      <c r="D51" s="8">
        <v>1</v>
      </c>
      <c r="E51" s="8">
        <v>0</v>
      </c>
    </row>
    <row r="52" spans="2:5" x14ac:dyDescent="0.3">
      <c r="B52" s="7" t="s">
        <v>10</v>
      </c>
      <c r="C52" s="2">
        <v>82.11</v>
      </c>
      <c r="D52" s="8">
        <v>1</v>
      </c>
      <c r="E52" s="8">
        <v>0</v>
      </c>
    </row>
    <row r="53" spans="2:5" x14ac:dyDescent="0.3">
      <c r="B53" s="7" t="s">
        <v>23</v>
      </c>
      <c r="C53" s="2">
        <v>12.52</v>
      </c>
      <c r="D53" s="8">
        <v>1</v>
      </c>
      <c r="E53" s="8">
        <v>0</v>
      </c>
    </row>
    <row r="54" spans="2:5" x14ac:dyDescent="0.3">
      <c r="B54" s="6" t="s">
        <v>16</v>
      </c>
      <c r="C54" s="2">
        <v>59345511.872279979</v>
      </c>
      <c r="D54" s="8">
        <v>5</v>
      </c>
      <c r="E54" s="8">
        <v>194241.06106399969</v>
      </c>
    </row>
    <row r="55" spans="2:5" x14ac:dyDescent="0.3">
      <c r="B55" s="7" t="s">
        <v>10</v>
      </c>
      <c r="C55" s="2">
        <v>23158.924095999999</v>
      </c>
      <c r="D55" s="8">
        <v>3</v>
      </c>
      <c r="E55" s="8">
        <v>194067.54095555542</v>
      </c>
    </row>
    <row r="56" spans="2:5" x14ac:dyDescent="0.3">
      <c r="B56" s="7" t="s">
        <v>23</v>
      </c>
      <c r="C56" s="2">
        <v>2562.5331999999999</v>
      </c>
      <c r="D56" s="8">
        <v>2</v>
      </c>
      <c r="E56" s="8">
        <v>3791.4806250000838</v>
      </c>
    </row>
    <row r="57" spans="2:5" x14ac:dyDescent="0.3">
      <c r="B57" s="5" t="s">
        <v>12</v>
      </c>
      <c r="C57" s="2">
        <v>1.8404682766331571E+41</v>
      </c>
      <c r="D57" s="8">
        <v>27</v>
      </c>
      <c r="E57" s="8">
        <v>855588.69820828352</v>
      </c>
    </row>
    <row r="58" spans="2:5" x14ac:dyDescent="0.3">
      <c r="B58" s="6" t="s">
        <v>21</v>
      </c>
      <c r="C58" s="2">
        <v>25481.54016</v>
      </c>
      <c r="D58" s="8">
        <v>3</v>
      </c>
      <c r="E58" s="8">
        <v>2039499.0216000001</v>
      </c>
    </row>
    <row r="59" spans="2:5" x14ac:dyDescent="0.3">
      <c r="B59" s="7" t="s">
        <v>25</v>
      </c>
      <c r="C59" s="2">
        <v>1789.434</v>
      </c>
      <c r="D59" s="8">
        <v>2</v>
      </c>
      <c r="E59" s="8">
        <v>2017990.7136000004</v>
      </c>
    </row>
    <row r="60" spans="2:5" x14ac:dyDescent="0.3">
      <c r="B60" s="7" t="s">
        <v>14</v>
      </c>
      <c r="C60" s="2">
        <v>14.24</v>
      </c>
      <c r="D60" s="8">
        <v>1</v>
      </c>
      <c r="E60" s="8">
        <v>0</v>
      </c>
    </row>
    <row r="61" spans="2:5" x14ac:dyDescent="0.3">
      <c r="B61" s="6" t="s">
        <v>19</v>
      </c>
      <c r="C61" s="2">
        <v>517122.56153600005</v>
      </c>
      <c r="D61" s="8">
        <v>4</v>
      </c>
      <c r="E61" s="8">
        <v>73442.342318749928</v>
      </c>
    </row>
    <row r="62" spans="2:5" x14ac:dyDescent="0.3">
      <c r="B62" s="7" t="s">
        <v>14</v>
      </c>
      <c r="C62" s="2">
        <v>716.95120000000009</v>
      </c>
      <c r="D62" s="8">
        <v>2</v>
      </c>
      <c r="E62" s="8">
        <v>294.29402499989374</v>
      </c>
    </row>
    <row r="63" spans="2:5" x14ac:dyDescent="0.3">
      <c r="B63" s="7" t="s">
        <v>10</v>
      </c>
      <c r="C63" s="2">
        <v>31.36</v>
      </c>
      <c r="D63" s="8">
        <v>1</v>
      </c>
      <c r="E63" s="8">
        <v>0</v>
      </c>
    </row>
    <row r="64" spans="2:5" x14ac:dyDescent="0.3">
      <c r="B64" s="7" t="s">
        <v>23</v>
      </c>
      <c r="C64" s="2">
        <v>23</v>
      </c>
      <c r="D64" s="8">
        <v>1</v>
      </c>
      <c r="E64" s="8">
        <v>0</v>
      </c>
    </row>
    <row r="65" spans="2:5" x14ac:dyDescent="0.3">
      <c r="B65" s="6" t="s">
        <v>24</v>
      </c>
      <c r="C65" s="2">
        <v>23270.055822000002</v>
      </c>
      <c r="D65" s="8">
        <v>3</v>
      </c>
      <c r="E65" s="8">
        <v>1401790.383288889</v>
      </c>
    </row>
    <row r="66" spans="2:5" x14ac:dyDescent="0.3">
      <c r="B66" s="7" t="s">
        <v>14</v>
      </c>
      <c r="C66" s="2">
        <v>1409.4521999999999</v>
      </c>
      <c r="D66" s="8">
        <v>2</v>
      </c>
      <c r="E66" s="8">
        <v>1156614.2116</v>
      </c>
    </row>
    <row r="67" spans="2:5" x14ac:dyDescent="0.3">
      <c r="B67" s="7" t="s">
        <v>38</v>
      </c>
      <c r="C67" s="2">
        <v>16.510000000000002</v>
      </c>
      <c r="D67" s="8">
        <v>1</v>
      </c>
      <c r="E67" s="8">
        <v>0</v>
      </c>
    </row>
    <row r="68" spans="2:5" x14ac:dyDescent="0.3">
      <c r="B68" s="6" t="s">
        <v>3</v>
      </c>
      <c r="C68" s="2">
        <v>3183543241.1706524</v>
      </c>
      <c r="D68" s="8">
        <v>6</v>
      </c>
      <c r="E68" s="8">
        <v>422534.01605555537</v>
      </c>
    </row>
    <row r="69" spans="2:5" x14ac:dyDescent="0.3">
      <c r="B69" s="7" t="s">
        <v>14</v>
      </c>
      <c r="C69" s="2">
        <v>12.02</v>
      </c>
      <c r="D69" s="8">
        <v>1</v>
      </c>
      <c r="E69" s="8">
        <v>0</v>
      </c>
    </row>
    <row r="70" spans="2:5" x14ac:dyDescent="0.3">
      <c r="B70" s="7" t="s">
        <v>10</v>
      </c>
      <c r="C70" s="2">
        <v>1328.3192000000001</v>
      </c>
      <c r="D70" s="8">
        <v>2</v>
      </c>
      <c r="E70" s="8">
        <v>28109.875599999999</v>
      </c>
    </row>
    <row r="71" spans="2:5" x14ac:dyDescent="0.3">
      <c r="B71" s="7" t="s">
        <v>23</v>
      </c>
      <c r="C71" s="2">
        <v>4548.1343999999999</v>
      </c>
      <c r="D71" s="8">
        <v>2</v>
      </c>
      <c r="E71" s="8">
        <v>526872.7396000002</v>
      </c>
    </row>
    <row r="72" spans="2:5" x14ac:dyDescent="0.3">
      <c r="B72" s="7" t="s">
        <v>38</v>
      </c>
      <c r="C72" s="2">
        <v>43.84</v>
      </c>
      <c r="D72" s="8">
        <v>1</v>
      </c>
      <c r="E72" s="8">
        <v>0</v>
      </c>
    </row>
    <row r="73" spans="2:5" x14ac:dyDescent="0.3">
      <c r="B73" s="6" t="s">
        <v>26</v>
      </c>
      <c r="C73" s="2">
        <v>587803425.47525942</v>
      </c>
      <c r="D73" s="8">
        <v>6</v>
      </c>
      <c r="E73" s="8">
        <v>601944.54710400035</v>
      </c>
    </row>
    <row r="74" spans="2:5" x14ac:dyDescent="0.3">
      <c r="B74" s="7" t="s">
        <v>25</v>
      </c>
      <c r="C74" s="2">
        <v>45.31</v>
      </c>
      <c r="D74" s="8">
        <v>1</v>
      </c>
      <c r="E74" s="8"/>
    </row>
    <row r="75" spans="2:5" x14ac:dyDescent="0.3">
      <c r="B75" s="7" t="s">
        <v>14</v>
      </c>
      <c r="C75" s="2">
        <v>53.03</v>
      </c>
      <c r="D75" s="8">
        <v>1</v>
      </c>
      <c r="E75" s="8">
        <v>0</v>
      </c>
    </row>
    <row r="76" spans="2:5" x14ac:dyDescent="0.3">
      <c r="B76" s="7" t="s">
        <v>10</v>
      </c>
      <c r="C76" s="2">
        <v>213.655</v>
      </c>
      <c r="D76" s="8">
        <v>2</v>
      </c>
      <c r="E76" s="8">
        <v>119076.75562499999</v>
      </c>
    </row>
    <row r="77" spans="2:5" x14ac:dyDescent="0.3">
      <c r="B77" s="7" t="s">
        <v>23</v>
      </c>
      <c r="C77" s="2">
        <v>17.38</v>
      </c>
      <c r="D77" s="8">
        <v>1</v>
      </c>
      <c r="E77" s="8">
        <v>0</v>
      </c>
    </row>
    <row r="78" spans="2:5" x14ac:dyDescent="0.3">
      <c r="B78" s="7" t="s">
        <v>38</v>
      </c>
      <c r="C78" s="2">
        <v>65.88</v>
      </c>
      <c r="D78" s="8">
        <v>1</v>
      </c>
      <c r="E78" s="8">
        <v>0</v>
      </c>
    </row>
    <row r="79" spans="2:5" x14ac:dyDescent="0.3">
      <c r="B79" s="6" t="s">
        <v>16</v>
      </c>
      <c r="C79" s="2">
        <v>320751639.58846909</v>
      </c>
      <c r="D79" s="8">
        <v>5</v>
      </c>
      <c r="E79" s="8">
        <v>462189.65785599948</v>
      </c>
    </row>
    <row r="80" spans="2:5" x14ac:dyDescent="0.3">
      <c r="B80" s="7" t="s">
        <v>25</v>
      </c>
      <c r="C80" s="2">
        <v>33.78</v>
      </c>
      <c r="D80" s="8">
        <v>1</v>
      </c>
      <c r="E80" s="8">
        <v>0</v>
      </c>
    </row>
    <row r="81" spans="2:5" x14ac:dyDescent="0.3">
      <c r="B81" s="7" t="s">
        <v>10</v>
      </c>
      <c r="C81" s="2">
        <v>2821.9223999999999</v>
      </c>
      <c r="D81" s="8">
        <v>2</v>
      </c>
      <c r="E81" s="8">
        <v>3550.9680999997072</v>
      </c>
    </row>
    <row r="82" spans="2:5" x14ac:dyDescent="0.3">
      <c r="B82" s="7" t="s">
        <v>23</v>
      </c>
      <c r="C82" s="2">
        <v>40.89</v>
      </c>
      <c r="D82" s="8">
        <v>1</v>
      </c>
      <c r="E82" s="8">
        <v>0</v>
      </c>
    </row>
    <row r="83" spans="2:5" x14ac:dyDescent="0.3">
      <c r="B83" s="7" t="s">
        <v>38</v>
      </c>
      <c r="C83" s="2">
        <v>82.29</v>
      </c>
      <c r="D83" s="8">
        <v>1</v>
      </c>
      <c r="E83" s="8">
        <v>0</v>
      </c>
    </row>
    <row r="84" spans="2:5" x14ac:dyDescent="0.3">
      <c r="B84" s="5" t="s">
        <v>28</v>
      </c>
      <c r="C84" s="2">
        <v>1.4866744959887936E+135</v>
      </c>
      <c r="D84" s="8">
        <v>90</v>
      </c>
      <c r="E84" s="8">
        <v>946777.89265907754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AEA50-1D28-4F0E-81C1-1B08F3A54213}">
  <dimension ref="B4:C6"/>
  <sheetViews>
    <sheetView workbookViewId="0"/>
  </sheetViews>
  <sheetFormatPr defaultRowHeight="14.4" x14ac:dyDescent="0.3"/>
  <cols>
    <col min="2" max="2" width="6.77734375" bestFit="1" customWidth="1"/>
    <col min="3" max="3" width="12" bestFit="1" customWidth="1"/>
  </cols>
  <sheetData>
    <row r="4" spans="2:3" x14ac:dyDescent="0.3">
      <c r="B4" s="4" t="s">
        <v>9</v>
      </c>
      <c r="C4" t="s">
        <v>61</v>
      </c>
    </row>
    <row r="5" spans="2:3" x14ac:dyDescent="0.3">
      <c r="B5" t="s">
        <v>18</v>
      </c>
      <c r="C5" s="8">
        <v>253.4819944598338</v>
      </c>
    </row>
    <row r="6" spans="2:3" x14ac:dyDescent="0.3">
      <c r="B6" t="s">
        <v>13</v>
      </c>
      <c r="C6" s="8">
        <v>208.8836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2357F-7473-45DC-8CAF-B43B628E4A3D}">
  <dimension ref="B4:D11"/>
  <sheetViews>
    <sheetView workbookViewId="0"/>
  </sheetViews>
  <sheetFormatPr defaultRowHeight="14.4" x14ac:dyDescent="0.3"/>
  <cols>
    <col min="2" max="2" width="10.5546875" bestFit="1" customWidth="1"/>
    <col min="3" max="3" width="20.6640625" bestFit="1" customWidth="1"/>
    <col min="4" max="4" width="12.44140625" bestFit="1" customWidth="1"/>
  </cols>
  <sheetData>
    <row r="4" spans="2:4" x14ac:dyDescent="0.3">
      <c r="B4" s="4" t="s">
        <v>1</v>
      </c>
      <c r="C4" t="s">
        <v>31</v>
      </c>
      <c r="D4" t="s">
        <v>62</v>
      </c>
    </row>
    <row r="5" spans="2:4" x14ac:dyDescent="0.3">
      <c r="B5" t="s">
        <v>21</v>
      </c>
      <c r="C5" s="8">
        <v>17</v>
      </c>
      <c r="D5" s="2">
        <v>17</v>
      </c>
    </row>
    <row r="6" spans="2:4" x14ac:dyDescent="0.3">
      <c r="B6" t="s">
        <v>19</v>
      </c>
      <c r="C6" s="8">
        <v>11</v>
      </c>
      <c r="D6" s="2">
        <v>12</v>
      </c>
    </row>
    <row r="7" spans="2:4" x14ac:dyDescent="0.3">
      <c r="B7" t="s">
        <v>24</v>
      </c>
      <c r="C7" s="8">
        <v>13</v>
      </c>
      <c r="D7" s="2">
        <v>13</v>
      </c>
    </row>
    <row r="8" spans="2:4" x14ac:dyDescent="0.3">
      <c r="B8" t="s">
        <v>3</v>
      </c>
      <c r="C8" s="8">
        <v>15</v>
      </c>
      <c r="D8" s="2">
        <v>15</v>
      </c>
    </row>
    <row r="9" spans="2:4" x14ac:dyDescent="0.3">
      <c r="B9" t="s">
        <v>26</v>
      </c>
      <c r="C9" s="8">
        <v>18</v>
      </c>
      <c r="D9" s="2">
        <v>19</v>
      </c>
    </row>
    <row r="10" spans="2:4" x14ac:dyDescent="0.3">
      <c r="B10" t="s">
        <v>16</v>
      </c>
      <c r="C10" s="8">
        <v>14</v>
      </c>
      <c r="D10" s="2">
        <v>14</v>
      </c>
    </row>
    <row r="11" spans="2:4" x14ac:dyDescent="0.3">
      <c r="B11" t="s">
        <v>28</v>
      </c>
      <c r="C11" s="8">
        <v>88</v>
      </c>
      <c r="D11" s="2">
        <v>90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460FC-86CB-48DB-BA2B-CFC980C77C51}">
  <dimension ref="B4:O21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13" width="14.21875" bestFit="1" customWidth="1"/>
    <col min="14" max="14" width="18.77734375" bestFit="1" customWidth="1"/>
    <col min="15" max="15" width="16.33203125" bestFit="1" customWidth="1"/>
  </cols>
  <sheetData>
    <row r="4" spans="2:15" x14ac:dyDescent="0.3">
      <c r="D4" s="4" t="s">
        <v>0</v>
      </c>
      <c r="E4" s="4" t="s">
        <v>40</v>
      </c>
    </row>
    <row r="5" spans="2:15" x14ac:dyDescent="0.3">
      <c r="D5" t="s">
        <v>25</v>
      </c>
      <c r="F5" t="s">
        <v>14</v>
      </c>
      <c r="H5" t="s">
        <v>10</v>
      </c>
      <c r="J5" t="s">
        <v>23</v>
      </c>
      <c r="L5" t="s">
        <v>38</v>
      </c>
      <c r="N5" t="s">
        <v>66</v>
      </c>
      <c r="O5" t="s">
        <v>67</v>
      </c>
    </row>
    <row r="6" spans="2:15" x14ac:dyDescent="0.3">
      <c r="B6" s="4" t="s">
        <v>9</v>
      </c>
      <c r="C6" s="4" t="s">
        <v>1</v>
      </c>
      <c r="D6" t="s">
        <v>65</v>
      </c>
      <c r="E6" t="s">
        <v>68</v>
      </c>
      <c r="F6" t="s">
        <v>65</v>
      </c>
      <c r="G6" t="s">
        <v>68</v>
      </c>
      <c r="H6" t="s">
        <v>65</v>
      </c>
      <c r="I6" t="s">
        <v>68</v>
      </c>
      <c r="J6" t="s">
        <v>65</v>
      </c>
      <c r="K6" t="s">
        <v>68</v>
      </c>
      <c r="L6" t="s">
        <v>65</v>
      </c>
      <c r="M6" t="s">
        <v>68</v>
      </c>
    </row>
    <row r="7" spans="2:15" x14ac:dyDescent="0.3">
      <c r="B7" t="s">
        <v>13</v>
      </c>
      <c r="C7" t="s">
        <v>16</v>
      </c>
      <c r="D7" s="8">
        <v>44</v>
      </c>
      <c r="E7" s="8">
        <v>58</v>
      </c>
      <c r="F7" s="8">
        <v>8</v>
      </c>
      <c r="G7" s="8">
        <v>37</v>
      </c>
      <c r="H7" s="8">
        <v>24.5</v>
      </c>
      <c r="I7" s="8">
        <v>42</v>
      </c>
      <c r="J7" s="8">
        <v>9.5</v>
      </c>
      <c r="K7" s="8">
        <v>121</v>
      </c>
      <c r="L7" s="8">
        <v>16</v>
      </c>
      <c r="M7" s="8">
        <v>31</v>
      </c>
      <c r="N7" s="8">
        <v>19.428571428571427</v>
      </c>
      <c r="O7" s="8">
        <v>289</v>
      </c>
    </row>
    <row r="8" spans="2:15" x14ac:dyDescent="0.3">
      <c r="C8" t="s">
        <v>26</v>
      </c>
      <c r="D8" s="8">
        <v>30.75</v>
      </c>
      <c r="E8" s="8">
        <v>187</v>
      </c>
      <c r="F8" s="8">
        <v>35.666666666666664</v>
      </c>
      <c r="G8" s="8">
        <v>142</v>
      </c>
      <c r="H8" s="8">
        <v>26</v>
      </c>
      <c r="I8" s="8">
        <v>99</v>
      </c>
      <c r="J8" s="8">
        <v>2.3333333333333335</v>
      </c>
      <c r="K8" s="8">
        <v>91</v>
      </c>
      <c r="L8" s="8">
        <v>6</v>
      </c>
      <c r="M8" s="8">
        <v>83</v>
      </c>
      <c r="N8" s="8">
        <v>22.416666666666668</v>
      </c>
      <c r="O8" s="8">
        <v>602</v>
      </c>
    </row>
    <row r="9" spans="2:15" x14ac:dyDescent="0.3">
      <c r="C9" t="s">
        <v>3</v>
      </c>
      <c r="D9" s="8">
        <v>33</v>
      </c>
      <c r="E9" s="8">
        <v>78</v>
      </c>
      <c r="F9" s="8">
        <v>15</v>
      </c>
      <c r="G9" s="8">
        <v>26</v>
      </c>
      <c r="H9" s="8">
        <v>12.666666666666666</v>
      </c>
      <c r="I9" s="8">
        <v>130</v>
      </c>
      <c r="J9" s="8">
        <v>35.5</v>
      </c>
      <c r="K9" s="8">
        <v>88</v>
      </c>
      <c r="L9" s="8">
        <v>1</v>
      </c>
      <c r="M9" s="8">
        <v>39</v>
      </c>
      <c r="N9" s="8">
        <v>19.75</v>
      </c>
      <c r="O9" s="8">
        <v>361</v>
      </c>
    </row>
    <row r="10" spans="2:15" x14ac:dyDescent="0.3">
      <c r="C10" t="s">
        <v>24</v>
      </c>
      <c r="D10" s="8">
        <v>22.5</v>
      </c>
      <c r="E10" s="8">
        <v>48</v>
      </c>
      <c r="F10" s="8">
        <v>50</v>
      </c>
      <c r="G10" s="8">
        <v>90</v>
      </c>
      <c r="H10" s="8">
        <v>3</v>
      </c>
      <c r="I10" s="8">
        <v>92</v>
      </c>
      <c r="J10" s="8">
        <v>20</v>
      </c>
      <c r="K10" s="8">
        <v>15</v>
      </c>
      <c r="L10" s="8">
        <v>28</v>
      </c>
      <c r="M10" s="8">
        <v>172</v>
      </c>
      <c r="N10" s="8">
        <v>24.857142857142858</v>
      </c>
      <c r="O10" s="8">
        <v>417</v>
      </c>
    </row>
    <row r="11" spans="2:15" x14ac:dyDescent="0.3">
      <c r="C11" t="s">
        <v>19</v>
      </c>
      <c r="D11" s="8">
        <v>20.5</v>
      </c>
      <c r="E11" s="8">
        <v>94</v>
      </c>
      <c r="F11" s="8">
        <v>21.5</v>
      </c>
      <c r="G11" s="8">
        <v>54</v>
      </c>
      <c r="H11" s="8">
        <v>25</v>
      </c>
      <c r="I11" s="8">
        <v>215</v>
      </c>
      <c r="J11" s="8"/>
      <c r="K11" s="8"/>
      <c r="L11" s="8"/>
      <c r="M11" s="8"/>
      <c r="N11" s="8">
        <v>22.333333333333332</v>
      </c>
      <c r="O11" s="8">
        <v>363</v>
      </c>
    </row>
    <row r="12" spans="2:15" x14ac:dyDescent="0.3">
      <c r="C12" t="s">
        <v>21</v>
      </c>
      <c r="D12" s="8">
        <v>35</v>
      </c>
      <c r="E12" s="8">
        <v>87</v>
      </c>
      <c r="F12" s="8">
        <v>20.5</v>
      </c>
      <c r="G12" s="8">
        <v>251</v>
      </c>
      <c r="H12" s="8">
        <v>36.333333333333336</v>
      </c>
      <c r="I12" s="8">
        <v>163</v>
      </c>
      <c r="J12" s="8">
        <v>47</v>
      </c>
      <c r="K12" s="8">
        <v>54</v>
      </c>
      <c r="L12" s="8"/>
      <c r="M12" s="8"/>
      <c r="N12" s="8">
        <v>30.8</v>
      </c>
      <c r="O12" s="8">
        <v>555</v>
      </c>
    </row>
    <row r="13" spans="2:15" x14ac:dyDescent="0.3">
      <c r="B13" t="s">
        <v>64</v>
      </c>
      <c r="D13" s="8">
        <v>29.666666666666668</v>
      </c>
      <c r="E13" s="8">
        <v>552</v>
      </c>
      <c r="F13" s="8">
        <v>25.416666666666668</v>
      </c>
      <c r="G13" s="8">
        <v>600</v>
      </c>
      <c r="H13" s="8">
        <v>22.916666666666668</v>
      </c>
      <c r="I13" s="8">
        <v>741</v>
      </c>
      <c r="J13" s="8">
        <v>18.222222222222221</v>
      </c>
      <c r="K13" s="8">
        <v>369</v>
      </c>
      <c r="L13" s="8">
        <v>15.8</v>
      </c>
      <c r="M13" s="8">
        <v>325</v>
      </c>
      <c r="N13" s="8">
        <v>23.58</v>
      </c>
      <c r="O13" s="8">
        <v>2587</v>
      </c>
    </row>
    <row r="14" spans="2:15" x14ac:dyDescent="0.3">
      <c r="B14" t="s">
        <v>18</v>
      </c>
      <c r="C14" t="s">
        <v>16</v>
      </c>
      <c r="D14" s="8"/>
      <c r="E14" s="8"/>
      <c r="F14" s="8"/>
      <c r="G14" s="8"/>
      <c r="H14" s="8">
        <v>32.799999999999997</v>
      </c>
      <c r="I14" s="8">
        <v>258</v>
      </c>
      <c r="J14" s="8">
        <v>37.5</v>
      </c>
      <c r="K14" s="8">
        <v>75</v>
      </c>
      <c r="L14" s="8"/>
      <c r="M14" s="8"/>
      <c r="N14" s="8">
        <v>34.142857142857146</v>
      </c>
      <c r="O14" s="8">
        <v>333</v>
      </c>
    </row>
    <row r="15" spans="2:15" x14ac:dyDescent="0.3">
      <c r="C15" t="s">
        <v>26</v>
      </c>
      <c r="D15" s="8">
        <v>2</v>
      </c>
      <c r="E15" s="8">
        <v>77</v>
      </c>
      <c r="F15" s="8">
        <v>36</v>
      </c>
      <c r="G15" s="8">
        <v>36</v>
      </c>
      <c r="H15" s="8">
        <v>33</v>
      </c>
      <c r="I15" s="8">
        <v>123</v>
      </c>
      <c r="J15" s="8"/>
      <c r="K15" s="8"/>
      <c r="L15" s="8">
        <v>46</v>
      </c>
      <c r="M15" s="8">
        <v>100</v>
      </c>
      <c r="N15" s="8">
        <v>30.5</v>
      </c>
      <c r="O15" s="8">
        <v>336</v>
      </c>
    </row>
    <row r="16" spans="2:15" x14ac:dyDescent="0.3">
      <c r="C16" t="s">
        <v>3</v>
      </c>
      <c r="D16" s="8">
        <v>13</v>
      </c>
      <c r="E16" s="8">
        <v>72</v>
      </c>
      <c r="F16" s="8"/>
      <c r="G16" s="8"/>
      <c r="H16" s="8">
        <v>28.333333333333332</v>
      </c>
      <c r="I16" s="8">
        <v>159</v>
      </c>
      <c r="J16" s="8">
        <v>11.5</v>
      </c>
      <c r="K16" s="8">
        <v>116</v>
      </c>
      <c r="L16" s="8">
        <v>21</v>
      </c>
      <c r="M16" s="8">
        <v>59</v>
      </c>
      <c r="N16" s="8">
        <v>20.285714285714285</v>
      </c>
      <c r="O16" s="8">
        <v>406</v>
      </c>
    </row>
    <row r="17" spans="2:15" x14ac:dyDescent="0.3">
      <c r="C17" t="s">
        <v>24</v>
      </c>
      <c r="D17" s="8">
        <v>31</v>
      </c>
      <c r="E17" s="8">
        <v>73</v>
      </c>
      <c r="F17" s="8">
        <v>47</v>
      </c>
      <c r="G17" s="8">
        <v>70</v>
      </c>
      <c r="H17" s="8"/>
      <c r="I17" s="8"/>
      <c r="J17" s="8">
        <v>11.75</v>
      </c>
      <c r="K17" s="8">
        <v>98</v>
      </c>
      <c r="L17" s="8"/>
      <c r="M17" s="8"/>
      <c r="N17" s="8">
        <v>20.833333333333332</v>
      </c>
      <c r="O17" s="8">
        <v>241</v>
      </c>
    </row>
    <row r="18" spans="2:15" x14ac:dyDescent="0.3">
      <c r="C18" t="s">
        <v>19</v>
      </c>
      <c r="D18" s="8">
        <v>3</v>
      </c>
      <c r="E18" s="8">
        <v>17</v>
      </c>
      <c r="F18" s="8"/>
      <c r="G18" s="8"/>
      <c r="H18" s="8">
        <v>14</v>
      </c>
      <c r="I18" s="8">
        <v>156</v>
      </c>
      <c r="J18" s="8">
        <v>25.5</v>
      </c>
      <c r="K18" s="8">
        <v>116</v>
      </c>
      <c r="L18" s="8"/>
      <c r="M18" s="8"/>
      <c r="N18" s="8">
        <v>16.399999999999999</v>
      </c>
      <c r="O18" s="8">
        <v>289</v>
      </c>
    </row>
    <row r="19" spans="2:15" x14ac:dyDescent="0.3">
      <c r="C19" t="s">
        <v>21</v>
      </c>
      <c r="D19" s="8">
        <v>11</v>
      </c>
      <c r="E19" s="8">
        <v>162</v>
      </c>
      <c r="F19" s="8">
        <v>18</v>
      </c>
      <c r="G19" s="8">
        <v>1</v>
      </c>
      <c r="H19" s="8">
        <v>31</v>
      </c>
      <c r="I19" s="8">
        <v>46</v>
      </c>
      <c r="J19" s="8">
        <v>42.5</v>
      </c>
      <c r="K19" s="8">
        <v>138</v>
      </c>
      <c r="L19" s="8">
        <v>31</v>
      </c>
      <c r="M19" s="8">
        <v>77</v>
      </c>
      <c r="N19" s="8">
        <v>26.714285714285715</v>
      </c>
      <c r="O19" s="8">
        <v>424</v>
      </c>
    </row>
    <row r="20" spans="2:15" x14ac:dyDescent="0.3">
      <c r="B20" t="s">
        <v>63</v>
      </c>
      <c r="D20" s="8">
        <v>11.833333333333334</v>
      </c>
      <c r="E20" s="8">
        <v>401</v>
      </c>
      <c r="F20" s="8">
        <v>33.666666666666664</v>
      </c>
      <c r="G20" s="8">
        <v>107</v>
      </c>
      <c r="H20" s="8">
        <v>29.071428571428573</v>
      </c>
      <c r="I20" s="8">
        <v>742</v>
      </c>
      <c r="J20" s="8">
        <v>23.416666666666668</v>
      </c>
      <c r="K20" s="8">
        <v>543</v>
      </c>
      <c r="L20" s="8">
        <v>32.666666666666664</v>
      </c>
      <c r="M20" s="8">
        <v>236</v>
      </c>
      <c r="N20" s="8">
        <v>25.210526315789473</v>
      </c>
      <c r="O20" s="8">
        <v>2029</v>
      </c>
    </row>
    <row r="21" spans="2:15" x14ac:dyDescent="0.3">
      <c r="B21" t="s">
        <v>28</v>
      </c>
      <c r="D21" s="8">
        <v>23.722222222222221</v>
      </c>
      <c r="E21" s="8">
        <v>953</v>
      </c>
      <c r="F21" s="8">
        <v>27.066666666666666</v>
      </c>
      <c r="G21" s="8">
        <v>707</v>
      </c>
      <c r="H21" s="8">
        <v>26.23076923076923</v>
      </c>
      <c r="I21" s="8">
        <v>1483</v>
      </c>
      <c r="J21" s="8">
        <v>21.19047619047619</v>
      </c>
      <c r="K21" s="8">
        <v>912</v>
      </c>
      <c r="L21" s="8">
        <v>22.125</v>
      </c>
      <c r="M21" s="8">
        <v>561</v>
      </c>
      <c r="N21" s="8">
        <v>24.28409090909091</v>
      </c>
      <c r="O21" s="8">
        <v>4616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Data</vt:lpstr>
      <vt:lpstr>P1</vt:lpstr>
      <vt:lpstr>P2</vt:lpstr>
      <vt:lpstr>P3</vt:lpstr>
      <vt:lpstr>P4</vt:lpstr>
      <vt:lpstr>P5</vt:lpstr>
      <vt:lpstr>P6</vt:lpstr>
      <vt:lpstr>P7</vt:lpstr>
      <vt:lpstr>P8</vt:lpstr>
      <vt:lpstr>P9</vt:lpstr>
      <vt:lpstr>P10</vt:lpstr>
      <vt:lpstr>P11</vt:lpstr>
      <vt:lpstr>P12</vt:lpstr>
      <vt:lpstr>P13</vt:lpstr>
      <vt:lpstr>P14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2026-10-11T08:30:18Z</dcterms:created>
  <dcterms:modified xsi:type="dcterms:W3CDTF">2026-10-11T08:30:30Z</dcterms:modified>
</cp:coreProperties>
</file>