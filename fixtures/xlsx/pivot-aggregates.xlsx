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275DC6A-2995-4340-A7FE-EB9687BA25CD}" xr6:coauthVersionLast="47" xr6:coauthVersionMax="47" xr10:uidLastSave="{00000000-0000-0000-0000-000000000000}"/>
  <bookViews>
    <workbookView xWindow="3072" yWindow="3072" windowWidth="17280" windowHeight="9960" xr2:uid="{1C4CE771-E903-46B6-9C14-241F1AE17E32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</sheets>
  <calcPr calcId="191029"/>
  <pivotCaches>
    <pivotCache cacheId="66" r:id="rId2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<sst xmlns="http://schemas.openxmlformats.org/spreadsheetml/2006/main" count="713" uniqueCount="63">
  <si>
    <t>Region</t>
  </si>
  <si>
    <t>Product</t>
  </si>
  <si>
    <t>Channel</t>
  </si>
  <si>
    <t>Date</t>
  </si>
  <si>
    <t>Units</t>
  </si>
  <si>
    <t>Price</t>
  </si>
  <si>
    <t>Revenue</t>
  </si>
  <si>
    <t>Score</t>
  </si>
  <si>
    <t>Tier</t>
  </si>
  <si>
    <t>Size</t>
  </si>
  <si>
    <t>South</t>
  </si>
  <si>
    <t>Retail</t>
  </si>
  <si>
    <t>Bronze</t>
  </si>
  <si>
    <t>L</t>
  </si>
  <si>
    <t>Cherry</t>
  </si>
  <si>
    <t>Partner</t>
  </si>
  <si>
    <t>S</t>
  </si>
  <si>
    <t>apple</t>
  </si>
  <si>
    <t>Silver</t>
  </si>
  <si>
    <t>East</t>
  </si>
  <si>
    <t>Walnut</t>
  </si>
  <si>
    <t>Online</t>
  </si>
  <si>
    <t>West</t>
  </si>
  <si>
    <t>Fig</t>
  </si>
  <si>
    <t>Gold</t>
  </si>
  <si>
    <t>Banana</t>
  </si>
  <si>
    <t>North</t>
  </si>
  <si>
    <t>Row Labels</t>
  </si>
  <si>
    <t>(blank)</t>
  </si>
  <si>
    <t>Grand Total</t>
  </si>
  <si>
    <t>Column Labels</t>
  </si>
  <si>
    <t>Sum of Units</t>
  </si>
  <si>
    <t>Sum of Score</t>
  </si>
  <si>
    <t>Count of Units</t>
  </si>
  <si>
    <t>Count of Score</t>
  </si>
  <si>
    <t>Average of Units</t>
  </si>
  <si>
    <t>Average of Score</t>
  </si>
  <si>
    <t>Max of Units</t>
  </si>
  <si>
    <t>Max of Score</t>
  </si>
  <si>
    <t>Min of Units</t>
  </si>
  <si>
    <t>Min of Score</t>
  </si>
  <si>
    <t>Product of Units</t>
  </si>
  <si>
    <t>Product of Score</t>
  </si>
  <si>
    <t>Count Numbers of Units</t>
  </si>
  <si>
    <t>Count Numbers of Score</t>
  </si>
  <si>
    <t>StdDev of Units</t>
  </si>
  <si>
    <t>StdDev of Score</t>
  </si>
  <si>
    <t>StdDevp of Units</t>
  </si>
  <si>
    <t>StdDevp of Score</t>
  </si>
  <si>
    <t>Var of Units</t>
  </si>
  <si>
    <t>Var of Score</t>
  </si>
  <si>
    <t>Varp of Units</t>
  </si>
  <si>
    <t>Varp of Score</t>
  </si>
  <si>
    <t>Count of Channel</t>
  </si>
  <si>
    <t>CountNums Channel</t>
  </si>
  <si>
    <t>Sum of Revenue</t>
  </si>
  <si>
    <t>Average of Revenue</t>
  </si>
  <si>
    <t>Max of Revenue</t>
  </si>
  <si>
    <t>Total revenue</t>
  </si>
  <si>
    <t>Total Total revenue</t>
  </si>
  <si>
    <t>Total Mean price</t>
  </si>
  <si>
    <t>Mean price</t>
  </si>
  <si>
    <t>Min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</si>
</sst>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\$#,##0"/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395300694443" createdVersion="8" refreshedVersion="8" minRefreshableVersion="3" recordCount="80" xr:uid="{4A543361-AFF1-4A7C-9A15-1EB92AAD9793}">
  <cacheSource type="worksheet">
    <worksheetSource ref="A1:J81" sheet="Data"/>
  </cacheSource>
  <cacheFields count="10">
    <cacheField name="Region" numFmtId="0">
      <sharedItems containsBlank="1" count="5">
        <s v="South"/>
        <s v="East"/>
        <s v="West"/>
        <s v="North"/>
        <m/>
      </sharedItems>
    </cacheField>
    <cacheField name="Product" numFmtId="0">
      <sharedItems count="6">
        <s v="Date"/>
        <s v="Cherry"/>
        <s v="apple"/>
        <s v="Walnut"/>
        <s v="Fig"/>
        <s v="Banana"/>
      </sharedItems>
    </cacheField>
    <cacheField name="Channel" numFmtId="0">
      <sharedItems count="3">
        <s v="Retail"/>
        <s v="Partner"/>
        <s v="Online"/>
      </sharedItems>
    </cacheField>
    <cacheField name="Date" numFmtId="14">
      <sharedItems containsSemiMixedTypes="0" containsNonDate="0" containsDate="1" containsString="0" minDate="2024-01-18T00:00:00" maxDate="2025-12-13T00:00:00"/>
    </cacheField>
    <cacheField name="Units" numFmtId="0">
      <sharedItems containsString="0" containsBlank="1" containsNumber="1" containsInteger="1" minValue="2" maxValue="50"/>
    </cacheField>
    <cacheField name="Price" numFmtId="2">
      <sharedItems containsSemiMixedTypes="0" containsString="0" containsNumber="1" minValue="1.37" maxValue="98.64"/>
    </cacheField>
    <cacheField name="Revenue" numFmtId="4">
      <sharedItems containsString="0" containsBlank="1" containsNumber="1" minValue="63.02" maxValue="4187.38"/>
    </cacheField>
    <cacheField name="Score" numFmtId="0">
      <sharedItems containsSemiMixedTypes="0" containsString="0" containsNumber="1" containsInteger="1" minValue="0" maxValue="100"/>
    </cacheField>
    <cacheField name="Tier" numFmtId="0">
      <sharedItems/>
    </cacheField>
    <cacheField name="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x v="0"/>
    <x v="0"/>
    <x v="0"/>
    <d v="2025-05-02T00:00:00"/>
    <n v="47"/>
    <n v="3.76"/>
    <n v="176.72"/>
    <n v="91"/>
    <s v="Bronze"/>
    <s v="L"/>
  </r>
  <r>
    <x v="0"/>
    <x v="1"/>
    <x v="1"/>
    <d v="2025-04-19T00:00:00"/>
    <n v="13"/>
    <n v="80.11"/>
    <n v="1041.43"/>
    <n v="75"/>
    <s v="Bronze"/>
    <s v="S"/>
  </r>
  <r>
    <x v="0"/>
    <x v="2"/>
    <x v="0"/>
    <d v="2025-11-11T00:00:00"/>
    <n v="12"/>
    <n v="96.66"/>
    <n v="1159.92"/>
    <n v="47"/>
    <s v="Silver"/>
    <s v="L"/>
  </r>
  <r>
    <x v="1"/>
    <x v="3"/>
    <x v="1"/>
    <d v="2025-05-21T00:00:00"/>
    <n v="2"/>
    <n v="87.27"/>
    <n v="174.54"/>
    <n v="82"/>
    <s v="Silver"/>
    <s v="L"/>
  </r>
  <r>
    <x v="0"/>
    <x v="1"/>
    <x v="2"/>
    <d v="2025-07-04T00:00:00"/>
    <n v="49"/>
    <n v="16.489999999999998"/>
    <n v="808.01"/>
    <n v="25"/>
    <s v="Bronze"/>
    <s v="S"/>
  </r>
  <r>
    <x v="1"/>
    <x v="0"/>
    <x v="0"/>
    <d v="2024-04-11T00:00:00"/>
    <n v="50"/>
    <n v="24.24"/>
    <n v="1212"/>
    <n v="14"/>
    <s v="Silver"/>
    <s v="L"/>
  </r>
  <r>
    <x v="2"/>
    <x v="3"/>
    <x v="2"/>
    <d v="2025-08-26T00:00:00"/>
    <n v="42"/>
    <n v="66.760000000000005"/>
    <n v="2803.92"/>
    <n v="55"/>
    <s v="Bronze"/>
    <s v="S"/>
  </r>
  <r>
    <x v="0"/>
    <x v="2"/>
    <x v="0"/>
    <d v="2025-05-23T00:00:00"/>
    <n v="12"/>
    <n v="59.06"/>
    <n v="708.72"/>
    <n v="72"/>
    <s v="Silver"/>
    <s v="S"/>
  </r>
  <r>
    <x v="2"/>
    <x v="4"/>
    <x v="2"/>
    <d v="2024-04-18T00:00:00"/>
    <n v="39"/>
    <n v="39.65"/>
    <n v="1546.35"/>
    <n v="65"/>
    <s v="Gold"/>
    <s v="S"/>
  </r>
  <r>
    <x v="1"/>
    <x v="5"/>
    <x v="1"/>
    <d v="2024-03-08T00:00:00"/>
    <n v="46"/>
    <n v="15.4"/>
    <n v="708.4"/>
    <n v="63"/>
    <s v="Silver"/>
    <s v="L"/>
  </r>
  <r>
    <x v="1"/>
    <x v="0"/>
    <x v="1"/>
    <d v="2025-07-16T00:00:00"/>
    <n v="26"/>
    <n v="21.25"/>
    <n v="552.5"/>
    <n v="22"/>
    <s v="Gold"/>
    <s v="S"/>
  </r>
  <r>
    <x v="3"/>
    <x v="0"/>
    <x v="0"/>
    <d v="2025-07-22T00:00:00"/>
    <n v="38"/>
    <n v="97.98"/>
    <n v="3723.24"/>
    <n v="90"/>
    <s v="Gold"/>
    <s v="S"/>
  </r>
  <r>
    <x v="3"/>
    <x v="5"/>
    <x v="2"/>
    <d v="2024-06-17T00:00:00"/>
    <n v="19"/>
    <n v="16.559999999999999"/>
    <n v="314.64"/>
    <n v="52"/>
    <s v="Bronze"/>
    <s v="L"/>
  </r>
  <r>
    <x v="0"/>
    <x v="3"/>
    <x v="0"/>
    <d v="2025-11-27T00:00:00"/>
    <n v="22"/>
    <n v="8.9600000000000009"/>
    <n v="197.12"/>
    <n v="66"/>
    <s v="Bronze"/>
    <s v="S"/>
  </r>
  <r>
    <x v="3"/>
    <x v="3"/>
    <x v="0"/>
    <d v="2025-10-08T00:00:00"/>
    <n v="12"/>
    <n v="47.09"/>
    <n v="565.08000000000004"/>
    <n v="42"/>
    <s v="Gold"/>
    <s v="S"/>
  </r>
  <r>
    <x v="2"/>
    <x v="5"/>
    <x v="1"/>
    <d v="2025-12-12T00:00:00"/>
    <n v="2"/>
    <n v="81.52"/>
    <n v="163.04"/>
    <n v="92"/>
    <s v="Silver"/>
    <s v="S"/>
  </r>
  <r>
    <x v="2"/>
    <x v="1"/>
    <x v="0"/>
    <d v="2024-04-14T00:00:00"/>
    <n v="37"/>
    <n v="88.47"/>
    <n v="3273.39"/>
    <n v="62"/>
    <s v="Silver"/>
    <s v="L"/>
  </r>
  <r>
    <x v="1"/>
    <x v="5"/>
    <x v="0"/>
    <d v="2024-01-18T00:00:00"/>
    <n v="9"/>
    <n v="26.49"/>
    <n v="238.41"/>
    <n v="74"/>
    <s v="Silver"/>
    <s v="S"/>
  </r>
  <r>
    <x v="3"/>
    <x v="0"/>
    <x v="2"/>
    <d v="2024-08-05T00:00:00"/>
    <n v="2"/>
    <n v="88.19"/>
    <n v="176.38"/>
    <n v="2"/>
    <s v="Bronze"/>
    <s v="L"/>
  </r>
  <r>
    <x v="1"/>
    <x v="3"/>
    <x v="2"/>
    <d v="2025-08-04T00:00:00"/>
    <n v="36"/>
    <n v="9.9700000000000006"/>
    <n v="358.92"/>
    <n v="50"/>
    <s v="Gold"/>
    <s v="L"/>
  </r>
  <r>
    <x v="0"/>
    <x v="3"/>
    <x v="1"/>
    <d v="2025-07-11T00:00:00"/>
    <n v="47"/>
    <n v="31.77"/>
    <n v="1493.19"/>
    <n v="58"/>
    <s v="Bronze"/>
    <s v="L"/>
  </r>
  <r>
    <x v="3"/>
    <x v="4"/>
    <x v="1"/>
    <d v="2025-09-30T00:00:00"/>
    <n v="14"/>
    <n v="91.46"/>
    <n v="1280.44"/>
    <n v="38"/>
    <s v="Gold"/>
    <s v="L"/>
  </r>
  <r>
    <x v="2"/>
    <x v="3"/>
    <x v="1"/>
    <d v="2024-03-04T00:00:00"/>
    <n v="17"/>
    <n v="34.26"/>
    <n v="582.41999999999996"/>
    <n v="87"/>
    <s v="Silver"/>
    <s v="L"/>
  </r>
  <r>
    <x v="2"/>
    <x v="2"/>
    <x v="1"/>
    <d v="2024-07-22T00:00:00"/>
    <n v="43"/>
    <n v="33.99"/>
    <n v="1461.57"/>
    <n v="6"/>
    <s v="Silver"/>
    <s v="L"/>
  </r>
  <r>
    <x v="2"/>
    <x v="1"/>
    <x v="0"/>
    <d v="2025-08-09T00:00:00"/>
    <n v="23"/>
    <n v="63.9"/>
    <n v="1469.7"/>
    <n v="15"/>
    <s v="Gold"/>
    <s v="L"/>
  </r>
  <r>
    <x v="3"/>
    <x v="3"/>
    <x v="1"/>
    <d v="2024-07-15T00:00:00"/>
    <n v="11"/>
    <n v="96.21"/>
    <n v="1058.31"/>
    <n v="4"/>
    <s v="Bronze"/>
    <s v="L"/>
  </r>
  <r>
    <x v="3"/>
    <x v="4"/>
    <x v="2"/>
    <d v="2025-02-11T00:00:00"/>
    <n v="12"/>
    <n v="32.18"/>
    <n v="386.16"/>
    <n v="94"/>
    <s v="Bronze"/>
    <s v="L"/>
  </r>
  <r>
    <x v="2"/>
    <x v="4"/>
    <x v="0"/>
    <d v="2025-03-20T00:00:00"/>
    <n v="19"/>
    <n v="4.7"/>
    <n v="89.3"/>
    <n v="89"/>
    <s v="Bronze"/>
    <s v="S"/>
  </r>
  <r>
    <x v="0"/>
    <x v="0"/>
    <x v="1"/>
    <d v="2025-02-25T00:00:00"/>
    <n v="30"/>
    <n v="14.61"/>
    <n v="438.3"/>
    <n v="63"/>
    <s v="Bronze"/>
    <s v="L"/>
  </r>
  <r>
    <x v="3"/>
    <x v="4"/>
    <x v="2"/>
    <d v="2024-06-19T00:00:00"/>
    <n v="4"/>
    <n v="65.62"/>
    <n v="262.48"/>
    <n v="79"/>
    <s v="Silver"/>
    <s v="L"/>
  </r>
  <r>
    <x v="2"/>
    <x v="0"/>
    <x v="1"/>
    <d v="2024-12-09T00:00:00"/>
    <n v="8"/>
    <n v="11.82"/>
    <n v="94.56"/>
    <n v="67"/>
    <s v="Silver"/>
    <s v="L"/>
  </r>
  <r>
    <x v="3"/>
    <x v="5"/>
    <x v="0"/>
    <d v="2024-08-05T00:00:00"/>
    <n v="4"/>
    <n v="74.59"/>
    <n v="298.36"/>
    <n v="52"/>
    <s v="Gold"/>
    <s v="S"/>
  </r>
  <r>
    <x v="2"/>
    <x v="4"/>
    <x v="1"/>
    <d v="2024-10-27T00:00:00"/>
    <m/>
    <n v="66.69"/>
    <m/>
    <n v="31"/>
    <s v="Silver"/>
    <s v="S"/>
  </r>
  <r>
    <x v="4"/>
    <x v="5"/>
    <x v="1"/>
    <d v="2024-07-11T00:00:00"/>
    <n v="49"/>
    <n v="10.44"/>
    <n v="511.56"/>
    <n v="31"/>
    <s v="Silver"/>
    <s v="S"/>
  </r>
  <r>
    <x v="2"/>
    <x v="4"/>
    <x v="1"/>
    <d v="2024-08-23T00:00:00"/>
    <n v="4"/>
    <n v="24.29"/>
    <n v="97.16"/>
    <n v="100"/>
    <s v="Gold"/>
    <s v="L"/>
  </r>
  <r>
    <x v="1"/>
    <x v="5"/>
    <x v="0"/>
    <d v="2024-07-09T00:00:00"/>
    <n v="2"/>
    <n v="66.72"/>
    <n v="133.44"/>
    <n v="53"/>
    <s v="Gold"/>
    <s v="S"/>
  </r>
  <r>
    <x v="0"/>
    <x v="0"/>
    <x v="0"/>
    <d v="2024-09-03T00:00:00"/>
    <n v="40"/>
    <n v="12.65"/>
    <n v="506"/>
    <n v="52"/>
    <s v="Silver"/>
    <s v="L"/>
  </r>
  <r>
    <x v="1"/>
    <x v="2"/>
    <x v="2"/>
    <d v="2024-05-06T00:00:00"/>
    <n v="19"/>
    <n v="57.57"/>
    <n v="1093.83"/>
    <n v="1"/>
    <s v="Gold"/>
    <s v="L"/>
  </r>
  <r>
    <x v="1"/>
    <x v="0"/>
    <x v="0"/>
    <d v="2024-11-29T00:00:00"/>
    <n v="18"/>
    <n v="95.8"/>
    <n v="1724.4"/>
    <n v="91"/>
    <s v="Gold"/>
    <s v="S"/>
  </r>
  <r>
    <x v="0"/>
    <x v="3"/>
    <x v="2"/>
    <d v="2025-03-23T00:00:00"/>
    <n v="37"/>
    <n v="62.08"/>
    <n v="2296.96"/>
    <n v="87"/>
    <s v="Gold"/>
    <s v="S"/>
  </r>
  <r>
    <x v="0"/>
    <x v="4"/>
    <x v="1"/>
    <d v="2025-08-20T00:00:00"/>
    <n v="17"/>
    <n v="50.18"/>
    <n v="853.06"/>
    <n v="37"/>
    <s v="Gold"/>
    <s v="S"/>
  </r>
  <r>
    <x v="4"/>
    <x v="1"/>
    <x v="0"/>
    <d v="2025-04-02T00:00:00"/>
    <n v="43"/>
    <n v="74.97"/>
    <n v="3223.71"/>
    <n v="98"/>
    <s v="Bronze"/>
    <s v="S"/>
  </r>
  <r>
    <x v="3"/>
    <x v="5"/>
    <x v="1"/>
    <d v="2025-01-23T00:00:00"/>
    <n v="20"/>
    <n v="26.56"/>
    <n v="531.20000000000005"/>
    <n v="5"/>
    <s v="Silver"/>
    <s v="L"/>
  </r>
  <r>
    <x v="1"/>
    <x v="5"/>
    <x v="2"/>
    <d v="2025-01-29T00:00:00"/>
    <n v="42"/>
    <n v="75.86"/>
    <n v="3186.12"/>
    <n v="26"/>
    <s v="Bronze"/>
    <s v="L"/>
  </r>
  <r>
    <x v="1"/>
    <x v="1"/>
    <x v="0"/>
    <d v="2025-01-28T00:00:00"/>
    <n v="46"/>
    <n v="48.9"/>
    <n v="2249.4"/>
    <n v="24"/>
    <s v="Bronze"/>
    <s v="L"/>
  </r>
  <r>
    <x v="2"/>
    <x v="4"/>
    <x v="1"/>
    <d v="2025-10-25T00:00:00"/>
    <n v="13"/>
    <n v="10.029999999999999"/>
    <n v="130.38999999999999"/>
    <n v="2"/>
    <s v="Bronze"/>
    <s v="L"/>
  </r>
  <r>
    <x v="3"/>
    <x v="0"/>
    <x v="0"/>
    <d v="2025-02-05T00:00:00"/>
    <n v="12"/>
    <n v="70.540000000000006"/>
    <n v="846.48"/>
    <n v="61"/>
    <s v="Gold"/>
    <s v="L"/>
  </r>
  <r>
    <x v="3"/>
    <x v="0"/>
    <x v="1"/>
    <d v="2024-06-20T00:00:00"/>
    <n v="49"/>
    <n v="74.84"/>
    <n v="3667.16"/>
    <n v="2"/>
    <s v="Silver"/>
    <s v="L"/>
  </r>
  <r>
    <x v="3"/>
    <x v="3"/>
    <x v="2"/>
    <d v="2025-03-31T00:00:00"/>
    <n v="39"/>
    <n v="4.57"/>
    <n v="178.23"/>
    <n v="6"/>
    <s v="Gold"/>
    <s v="L"/>
  </r>
  <r>
    <x v="2"/>
    <x v="5"/>
    <x v="0"/>
    <d v="2024-06-30T00:00:00"/>
    <n v="12"/>
    <n v="88.02"/>
    <n v="1056.24"/>
    <n v="32"/>
    <s v="Silver"/>
    <s v="S"/>
  </r>
  <r>
    <x v="3"/>
    <x v="1"/>
    <x v="0"/>
    <d v="2024-12-11T00:00:00"/>
    <n v="17"/>
    <n v="65.41"/>
    <n v="1111.97"/>
    <n v="10"/>
    <s v="Silver"/>
    <s v="L"/>
  </r>
  <r>
    <x v="2"/>
    <x v="1"/>
    <x v="0"/>
    <d v="2024-06-03T00:00:00"/>
    <n v="47"/>
    <n v="59.8"/>
    <n v="2810.6"/>
    <n v="0"/>
    <s v="Silver"/>
    <s v="L"/>
  </r>
  <r>
    <x v="0"/>
    <x v="0"/>
    <x v="2"/>
    <d v="2024-10-10T00:00:00"/>
    <n v="48"/>
    <n v="15.94"/>
    <n v="765.12"/>
    <n v="49"/>
    <s v="Bronze"/>
    <s v="L"/>
  </r>
  <r>
    <x v="3"/>
    <x v="5"/>
    <x v="1"/>
    <d v="2024-03-02T00:00:00"/>
    <n v="4"/>
    <n v="85.4"/>
    <n v="341.6"/>
    <n v="78"/>
    <s v="Silver"/>
    <s v="S"/>
  </r>
  <r>
    <x v="3"/>
    <x v="3"/>
    <x v="0"/>
    <d v="2025-02-14T00:00:00"/>
    <n v="36"/>
    <n v="98.64"/>
    <n v="3551.04"/>
    <n v="56"/>
    <s v="Silver"/>
    <s v="L"/>
  </r>
  <r>
    <x v="3"/>
    <x v="0"/>
    <x v="0"/>
    <d v="2025-05-20T00:00:00"/>
    <n v="5"/>
    <n v="38.64"/>
    <n v="193.2"/>
    <n v="78"/>
    <s v="Bronze"/>
    <s v="S"/>
  </r>
  <r>
    <x v="0"/>
    <x v="2"/>
    <x v="1"/>
    <d v="2025-07-31T00:00:00"/>
    <n v="49"/>
    <n v="25.37"/>
    <n v="1243.1300000000001"/>
    <n v="64"/>
    <s v="Bronze"/>
    <s v="S"/>
  </r>
  <r>
    <x v="0"/>
    <x v="2"/>
    <x v="0"/>
    <d v="2025-04-20T00:00:00"/>
    <n v="26"/>
    <n v="94.78"/>
    <n v="2464.2800000000002"/>
    <n v="4"/>
    <s v="Bronze"/>
    <s v="S"/>
  </r>
  <r>
    <x v="3"/>
    <x v="3"/>
    <x v="1"/>
    <d v="2024-06-11T00:00:00"/>
    <n v="46"/>
    <n v="12.95"/>
    <n v="595.70000000000005"/>
    <n v="55"/>
    <s v="Gold"/>
    <s v="S"/>
  </r>
  <r>
    <x v="1"/>
    <x v="0"/>
    <x v="1"/>
    <d v="2024-06-17T00:00:00"/>
    <n v="8"/>
    <n v="19.920000000000002"/>
    <n v="159.36000000000001"/>
    <n v="91"/>
    <s v="Gold"/>
    <s v="S"/>
  </r>
  <r>
    <x v="2"/>
    <x v="0"/>
    <x v="0"/>
    <d v="2025-01-31T00:00:00"/>
    <n v="40"/>
    <n v="3.8"/>
    <n v="152"/>
    <n v="8"/>
    <s v="Gold"/>
    <s v="L"/>
  </r>
  <r>
    <x v="0"/>
    <x v="5"/>
    <x v="1"/>
    <d v="2025-05-22T00:00:00"/>
    <n v="32"/>
    <n v="20.329999999999998"/>
    <n v="650.55999999999995"/>
    <n v="63"/>
    <s v="Silver"/>
    <s v="L"/>
  </r>
  <r>
    <x v="3"/>
    <x v="0"/>
    <x v="2"/>
    <d v="2025-01-22T00:00:00"/>
    <n v="46"/>
    <n v="21.14"/>
    <n v="972.44"/>
    <n v="80"/>
    <s v="Bronze"/>
    <s v="S"/>
  </r>
  <r>
    <x v="0"/>
    <x v="4"/>
    <x v="1"/>
    <d v="2025-10-19T00:00:00"/>
    <n v="33"/>
    <n v="78.28"/>
    <n v="2583.2399999999998"/>
    <n v="83"/>
    <s v="Silver"/>
    <s v="L"/>
  </r>
  <r>
    <x v="4"/>
    <x v="4"/>
    <x v="1"/>
    <d v="2025-04-22T00:00:00"/>
    <n v="22"/>
    <n v="26.36"/>
    <n v="579.91999999999996"/>
    <n v="0"/>
    <s v="Bronze"/>
    <s v="S"/>
  </r>
  <r>
    <x v="3"/>
    <x v="5"/>
    <x v="2"/>
    <d v="2025-02-07T00:00:00"/>
    <n v="46"/>
    <n v="1.37"/>
    <n v="63.02"/>
    <n v="58"/>
    <s v="Gold"/>
    <s v="S"/>
  </r>
  <r>
    <x v="1"/>
    <x v="0"/>
    <x v="1"/>
    <d v="2024-05-07T00:00:00"/>
    <n v="9"/>
    <n v="37.54"/>
    <n v="337.86"/>
    <n v="73"/>
    <s v="Gold"/>
    <s v="S"/>
  </r>
  <r>
    <x v="3"/>
    <x v="3"/>
    <x v="0"/>
    <d v="2025-09-04T00:00:00"/>
    <n v="10"/>
    <n v="61.17"/>
    <n v="611.70000000000005"/>
    <n v="56"/>
    <s v="Gold"/>
    <s v="S"/>
  </r>
  <r>
    <x v="0"/>
    <x v="4"/>
    <x v="0"/>
    <d v="2024-09-02T00:00:00"/>
    <n v="3"/>
    <n v="88.19"/>
    <n v="264.57"/>
    <n v="6"/>
    <s v="Gold"/>
    <s v="L"/>
  </r>
  <r>
    <x v="0"/>
    <x v="2"/>
    <x v="1"/>
    <d v="2024-08-09T00:00:00"/>
    <n v="45"/>
    <n v="78.3"/>
    <n v="3523.5"/>
    <n v="59"/>
    <s v="Bronze"/>
    <s v="L"/>
  </r>
  <r>
    <x v="3"/>
    <x v="0"/>
    <x v="1"/>
    <d v="2025-11-21T00:00:00"/>
    <n v="6"/>
    <n v="43.69"/>
    <n v="262.14"/>
    <n v="57"/>
    <s v="Silver"/>
    <s v="L"/>
  </r>
  <r>
    <x v="1"/>
    <x v="5"/>
    <x v="1"/>
    <d v="2025-11-01T00:00:00"/>
    <n v="46"/>
    <n v="91.03"/>
    <n v="4187.38"/>
    <n v="63"/>
    <s v="Gold"/>
    <s v="S"/>
  </r>
  <r>
    <x v="1"/>
    <x v="1"/>
    <x v="0"/>
    <d v="2025-01-17T00:00:00"/>
    <n v="42"/>
    <n v="74.42"/>
    <n v="3125.64"/>
    <n v="48"/>
    <s v="Silver"/>
    <s v="L"/>
  </r>
  <r>
    <x v="2"/>
    <x v="2"/>
    <x v="1"/>
    <d v="2024-04-06T00:00:00"/>
    <n v="39"/>
    <n v="46.25"/>
    <n v="1803.75"/>
    <n v="81"/>
    <s v="Bronze"/>
    <s v="L"/>
  </r>
  <r>
    <x v="0"/>
    <x v="2"/>
    <x v="2"/>
    <d v="2024-04-03T00:00:00"/>
    <n v="26"/>
    <n v="85.2"/>
    <n v="2215.1999999999998"/>
    <n v="98"/>
    <s v="Gold"/>
    <s v="S"/>
  </r>
  <r>
    <x v="1"/>
    <x v="2"/>
    <x v="2"/>
    <d v="2024-03-07T00:00:00"/>
    <n v="7"/>
    <n v="74.34"/>
    <n v="520.38"/>
    <n v="54"/>
    <s v="Bronze"/>
    <s v="L"/>
  </r>
  <r>
    <x v="3"/>
    <x v="0"/>
    <x v="2"/>
    <d v="2025-05-24T00:00:00"/>
    <n v="20"/>
    <n v="57.38"/>
    <n v="1147.5999999999999"/>
    <n v="63"/>
    <s v="Silver"/>
    <s v="L"/>
  </r>
  <r>
    <x v="2"/>
    <x v="5"/>
    <x v="1"/>
    <d v="2025-07-30T00:00:00"/>
    <n v="49"/>
    <n v="22.11"/>
    <n v="1083.3900000000001"/>
    <n v="97"/>
    <s v="Bronze"/>
    <s v="S"/>
  </r>
  <r>
    <x v="2"/>
    <x v="2"/>
    <x v="0"/>
    <d v="2025-07-29T00:00:00"/>
    <n v="11"/>
    <n v="36.81"/>
    <n v="404.91"/>
    <n v="28"/>
    <s v="Bronze"/>
    <s v="L"/>
  </r>
  <r>
    <x v="1"/>
    <x v="0"/>
    <x v="0"/>
    <d v="2024-04-26T00:00:00"/>
    <n v="27"/>
    <n v="53.59"/>
    <n v="1446.93"/>
    <n v="33"/>
    <s v="Silver"/>
    <s v="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61947-4713-4A17-BB77-F824740DDECE}" name="PT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243DB0-0E27-487A-B084-660380FF1090}" name="PT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core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DD0FEB-80FF-43DE-BA09-831B4900F662}" name="PT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7BCD4-9B73-4471-BD50-5F4C5FE71A54}" name="PT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Score" fld="7" subtotal="count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6BF27-B9BB-401E-83F4-0206EC76DBE2}" name="PT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875A7-4CFC-4B9B-8B86-C5540AF67FD5}" name="PT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core" fld="7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B17A6-6578-4D76-82E9-01B9555A3759}" name="PT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59C79-1ABF-4F41-BA9C-B23133C1A98D}" name="PT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ax of Score" fld="7" subtotal="max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BB341-E6AF-409F-A798-351AE7B75355}" name="PT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84C84-A67B-4608-B12E-6777673EDE76}" name="PT1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Min of Score" fld="7" subtotal="min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A69141-79D3-469D-8B21-5826E5F5A3C2}" name="PT1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FA593-B6D1-42A5-A26C-6CA8A048886E}" name="PT1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duct of Score" fld="7" subtotal="product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7CA76D-7A43-403B-8AAD-4C07634B4CE0}" name="PT1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Numbers of Units" fld="4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46923-D079-48CE-BC41-4FB19D4F7434}" name="PT1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Numbers of Score" fld="7" subtotal="countNums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B8D32-228C-439D-B51C-38B24A7EFB9A}" name="PT1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714BF-79CD-43A3-A13F-DBE50B2C645E}" name="PT1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tdDev of Score" fld="7" subtotal="stdDev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0A3637-0E59-4064-84FE-27924FCA471F}" name="PT17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tdDevp of Units" fld="4" subtotal="stdDev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6130B-EB49-4AD8-981C-2A0E8F590F1C}" name="PT18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tdDevp of Score" fld="7" subtotal="stdDevp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92C4C-EACE-4519-A499-F969B18DDC73}" name="PT19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Var of Units" fld="4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D006C-56F2-49FF-81C3-145F3806C00B}" name="PT20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ar of Score" fld="7" subtotal="var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CC74A-DDBE-45E1-8906-2B8393250BDC}" name="PT21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11" firstHeaderRow="1" firstDataRow="2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  <pivotField numFmtId="14" showAll="0"/>
    <pivotField dataField="1"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Varp of Units" fld="4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5494CE-3757-470A-83D4-2E877B16341F}" name="PT22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1" firstHeaderRow="1" firstDataRow="1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showAll="0"/>
    <pivotField numFmtId="14" showAll="0"/>
    <pivotField showAll="0"/>
    <pivotField numFmtId="2" showAll="0"/>
    <pivotField showAll="0"/>
    <pivotField dataField="1"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Varp of Score" fld="7" subtotal="varp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A6A50D-4F78-4402-BDC9-758BA9C586C5}" name="PT23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10" firstHeaderRow="0" firstDataRow="1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dataField="1" showAll="0"/>
    <pivotField numFmtId="14" showAll="0"/>
    <pivotField showAll="0"/>
    <pivotField numFmtId="2"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nnel" fld="2" subtotal="count" baseField="0" baseItem="0"/>
    <dataField name="CountNums Channel" fld="2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28CA93-6449-4687-A431-8DCA04D5A78F}" name="PT24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10" firstHeaderRow="0" firstDataRow="1" firstDataCol="1"/>
  <pivotFields count="10">
    <pivotField axis="axisRow" showAll="0">
      <items count="6">
        <item x="1"/>
        <item x="3"/>
        <item x="0"/>
        <item x="2"/>
        <item x="4"/>
        <item t="default"/>
      </items>
    </pivotField>
    <pivotField showAll="0"/>
    <pivotField showAll="0"/>
    <pivotField numFmtId="14" showAll="0"/>
    <pivotField showAll="0"/>
    <pivotField numFmtId="2" showAll="0"/>
    <pivotField dataField="1"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6" baseField="0" baseItem="0"/>
    <dataField name="Average of Revenue" fld="6" subtotal="average" baseField="0" baseItem="0"/>
    <dataField name="Max of Revenue" fld="6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21C28-0842-496D-9B9C-5B22CBAAD5D4}" name="PT25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J13" firstHeaderRow="1" firstDataRow="3" firstDataCol="1"/>
  <pivotFields count="10">
    <pivotField showAll="0"/>
    <pivotField axis="axisRow" showAll="0">
      <items count="7">
        <item x="2"/>
        <item x="5"/>
        <item x="1"/>
        <item x="0"/>
        <item x="4"/>
        <item x="3"/>
        <item t="default"/>
      </items>
    </pivotField>
    <pivotField axis="axisCol" showAll="0">
      <items count="4">
        <item x="2"/>
        <item x="1"/>
        <item x="0"/>
        <item t="default"/>
      </items>
    </pivotField>
    <pivotField numFmtId="14" showAll="0"/>
    <pivotField showAll="0"/>
    <pivotField dataField="1" numFmtId="2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Total revenue" fld="6" baseField="0" baseItem="0" numFmtId="165"/>
    <dataField name="Mean price" fld="5" subtotal="average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B3508F-906E-48F2-BB83-3F1539E386B2}" name="PT26" cacheId="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F24" firstHeaderRow="0" firstDataRow="1" firstDataCol="2"/>
  <pivotFields count="10">
    <pivotField axis="axisRow" compact="0" showAll="0">
      <items count="6">
        <item x="1"/>
        <item x="3"/>
        <item x="0"/>
        <item x="2"/>
        <item x="4"/>
        <item t="default"/>
      </items>
    </pivotField>
    <pivotField compact="0" showAll="0"/>
    <pivotField axis="axisRow" compact="0" showAll="0">
      <items count="4">
        <item x="2"/>
        <item x="1"/>
        <item x="0"/>
        <item t="default"/>
      </items>
    </pivotField>
    <pivotField compact="0" numFmtId="14" showAll="0"/>
    <pivotField dataField="1" compact="0" showAll="0"/>
    <pivotField dataField="1" compact="0" numFmtId="2" showAll="0"/>
    <pivotField compact="0" showAll="0"/>
    <pivotField dataField="1" compact="0" showAll="0"/>
    <pivotField compact="0" showAll="0"/>
    <pivotField compact="0" showAll="0"/>
  </pivotFields>
  <rowFields count="2">
    <field x="0"/>
    <field x="2"/>
  </rowFields>
  <rowItems count="20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4" baseField="0" baseItem="0"/>
    <dataField name="Min of Price" fld="5" subtotal="min" baseField="0" baseItem="0" numFmtId="2"/>
    <dataField name="Max of Score" fld="7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73CE1-CBC3-4A89-910F-F7C50476FBB0}">
  <dimension ref="A1:J81"/>
  <sheetViews>
    <sheetView tabSelected="1" workbookViewId="0"/>
  </sheetViews>
  <sheetFormatPr defaultRowHeight="14.4" x14ac:dyDescent="0.3"/>
  <cols>
    <col min="4" max="4" width="10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3</v>
      </c>
      <c r="C2" t="s">
        <v>11</v>
      </c>
      <c r="D2" s="1">
        <v>45779</v>
      </c>
      <c r="E2">
        <v>47</v>
      </c>
      <c r="F2" s="2">
        <v>3.76</v>
      </c>
      <c r="G2" s="3">
        <v>176.72</v>
      </c>
      <c r="H2">
        <v>91</v>
      </c>
      <c r="I2" t="s">
        <v>12</v>
      </c>
      <c r="J2" t="s">
        <v>13</v>
      </c>
    </row>
    <row r="3" spans="1:10" x14ac:dyDescent="0.3">
      <c r="A3" t="s">
        <v>10</v>
      </c>
      <c r="B3" t="s">
        <v>14</v>
      </c>
      <c r="C3" t="s">
        <v>15</v>
      </c>
      <c r="D3" s="1">
        <v>45766</v>
      </c>
      <c r="E3">
        <v>13</v>
      </c>
      <c r="F3" s="2">
        <v>80.11</v>
      </c>
      <c r="G3" s="3">
        <v>1041.43</v>
      </c>
      <c r="H3">
        <v>75</v>
      </c>
      <c r="I3" t="s">
        <v>12</v>
      </c>
      <c r="J3" t="s">
        <v>16</v>
      </c>
    </row>
    <row r="4" spans="1:10" x14ac:dyDescent="0.3">
      <c r="A4" t="s">
        <v>10</v>
      </c>
      <c r="B4" t="s">
        <v>17</v>
      </c>
      <c r="C4" t="s">
        <v>11</v>
      </c>
      <c r="D4" s="1">
        <v>45972</v>
      </c>
      <c r="E4">
        <v>12</v>
      </c>
      <c r="F4" s="2">
        <v>96.66</v>
      </c>
      <c r="G4" s="3">
        <v>1159.92</v>
      </c>
      <c r="H4">
        <v>47</v>
      </c>
      <c r="I4" t="s">
        <v>18</v>
      </c>
      <c r="J4" t="s">
        <v>13</v>
      </c>
    </row>
    <row r="5" spans="1:10" x14ac:dyDescent="0.3">
      <c r="A5" t="s">
        <v>19</v>
      </c>
      <c r="B5" t="s">
        <v>20</v>
      </c>
      <c r="C5" t="s">
        <v>15</v>
      </c>
      <c r="D5" s="1">
        <v>45798</v>
      </c>
      <c r="E5">
        <v>2</v>
      </c>
      <c r="F5" s="2">
        <v>87.27</v>
      </c>
      <c r="G5" s="3">
        <v>174.54</v>
      </c>
      <c r="H5">
        <v>82</v>
      </c>
      <c r="I5" t="s">
        <v>18</v>
      </c>
      <c r="J5" t="s">
        <v>13</v>
      </c>
    </row>
    <row r="6" spans="1:10" x14ac:dyDescent="0.3">
      <c r="A6" t="s">
        <v>10</v>
      </c>
      <c r="B6" t="s">
        <v>14</v>
      </c>
      <c r="C6" t="s">
        <v>21</v>
      </c>
      <c r="D6" s="1">
        <v>45842</v>
      </c>
      <c r="E6">
        <v>49</v>
      </c>
      <c r="F6" s="2">
        <v>16.489999999999998</v>
      </c>
      <c r="G6" s="3">
        <v>808.01</v>
      </c>
      <c r="H6">
        <v>25</v>
      </c>
      <c r="I6" t="s">
        <v>12</v>
      </c>
      <c r="J6" t="s">
        <v>16</v>
      </c>
    </row>
    <row r="7" spans="1:10" x14ac:dyDescent="0.3">
      <c r="A7" t="s">
        <v>19</v>
      </c>
      <c r="B7" t="s">
        <v>3</v>
      </c>
      <c r="C7" t="s">
        <v>11</v>
      </c>
      <c r="D7" s="1">
        <v>45393</v>
      </c>
      <c r="E7">
        <v>50</v>
      </c>
      <c r="F7" s="2">
        <v>24.24</v>
      </c>
      <c r="G7" s="3">
        <v>1212</v>
      </c>
      <c r="H7">
        <v>14</v>
      </c>
      <c r="I7" t="s">
        <v>18</v>
      </c>
      <c r="J7" t="s">
        <v>13</v>
      </c>
    </row>
    <row r="8" spans="1:10" x14ac:dyDescent="0.3">
      <c r="A8" t="s">
        <v>22</v>
      </c>
      <c r="B8" t="s">
        <v>20</v>
      </c>
      <c r="C8" t="s">
        <v>21</v>
      </c>
      <c r="D8" s="1">
        <v>45895</v>
      </c>
      <c r="E8">
        <v>42</v>
      </c>
      <c r="F8" s="2">
        <v>66.760000000000005</v>
      </c>
      <c r="G8" s="3">
        <v>2803.92</v>
      </c>
      <c r="H8">
        <v>55</v>
      </c>
      <c r="I8" t="s">
        <v>12</v>
      </c>
      <c r="J8" t="s">
        <v>16</v>
      </c>
    </row>
    <row r="9" spans="1:10" x14ac:dyDescent="0.3">
      <c r="A9" t="s">
        <v>10</v>
      </c>
      <c r="B9" t="s">
        <v>17</v>
      </c>
      <c r="C9" t="s">
        <v>11</v>
      </c>
      <c r="D9" s="1">
        <v>45800</v>
      </c>
      <c r="E9">
        <v>12</v>
      </c>
      <c r="F9" s="2">
        <v>59.06</v>
      </c>
      <c r="G9" s="3">
        <v>708.72</v>
      </c>
      <c r="H9">
        <v>72</v>
      </c>
      <c r="I9" t="s">
        <v>18</v>
      </c>
      <c r="J9" t="s">
        <v>16</v>
      </c>
    </row>
    <row r="10" spans="1:10" x14ac:dyDescent="0.3">
      <c r="A10" t="s">
        <v>22</v>
      </c>
      <c r="B10" t="s">
        <v>23</v>
      </c>
      <c r="C10" t="s">
        <v>21</v>
      </c>
      <c r="D10" s="1">
        <v>45400</v>
      </c>
      <c r="E10">
        <v>39</v>
      </c>
      <c r="F10" s="2">
        <v>39.65</v>
      </c>
      <c r="G10" s="3">
        <v>1546.35</v>
      </c>
      <c r="H10">
        <v>65</v>
      </c>
      <c r="I10" t="s">
        <v>24</v>
      </c>
      <c r="J10" t="s">
        <v>16</v>
      </c>
    </row>
    <row r="11" spans="1:10" x14ac:dyDescent="0.3">
      <c r="A11" t="s">
        <v>19</v>
      </c>
      <c r="B11" t="s">
        <v>25</v>
      </c>
      <c r="C11" t="s">
        <v>15</v>
      </c>
      <c r="D11" s="1">
        <v>45359</v>
      </c>
      <c r="E11">
        <v>46</v>
      </c>
      <c r="F11" s="2">
        <v>15.4</v>
      </c>
      <c r="G11" s="3">
        <v>708.4</v>
      </c>
      <c r="H11">
        <v>63</v>
      </c>
      <c r="I11" t="s">
        <v>18</v>
      </c>
      <c r="J11" t="s">
        <v>13</v>
      </c>
    </row>
    <row r="12" spans="1:10" x14ac:dyDescent="0.3">
      <c r="A12" t="s">
        <v>19</v>
      </c>
      <c r="B12" t="s">
        <v>3</v>
      </c>
      <c r="C12" t="s">
        <v>15</v>
      </c>
      <c r="D12" s="1">
        <v>45854</v>
      </c>
      <c r="E12">
        <v>26</v>
      </c>
      <c r="F12" s="2">
        <v>21.25</v>
      </c>
      <c r="G12" s="3">
        <v>552.5</v>
      </c>
      <c r="H12">
        <v>22</v>
      </c>
      <c r="I12" t="s">
        <v>24</v>
      </c>
      <c r="J12" t="s">
        <v>16</v>
      </c>
    </row>
    <row r="13" spans="1:10" x14ac:dyDescent="0.3">
      <c r="A13" t="s">
        <v>26</v>
      </c>
      <c r="B13" t="s">
        <v>3</v>
      </c>
      <c r="C13" t="s">
        <v>11</v>
      </c>
      <c r="D13" s="1">
        <v>45860</v>
      </c>
      <c r="E13">
        <v>38</v>
      </c>
      <c r="F13" s="2">
        <v>97.98</v>
      </c>
      <c r="G13" s="3">
        <v>3723.24</v>
      </c>
      <c r="H13">
        <v>90</v>
      </c>
      <c r="I13" t="s">
        <v>24</v>
      </c>
      <c r="J13" t="s">
        <v>16</v>
      </c>
    </row>
    <row r="14" spans="1:10" x14ac:dyDescent="0.3">
      <c r="A14" t="s">
        <v>26</v>
      </c>
      <c r="B14" t="s">
        <v>25</v>
      </c>
      <c r="C14" t="s">
        <v>21</v>
      </c>
      <c r="D14" s="1">
        <v>45460</v>
      </c>
      <c r="E14">
        <v>19</v>
      </c>
      <c r="F14" s="2">
        <v>16.559999999999999</v>
      </c>
      <c r="G14" s="3">
        <v>314.64</v>
      </c>
      <c r="H14">
        <v>52</v>
      </c>
      <c r="I14" t="s">
        <v>12</v>
      </c>
      <c r="J14" t="s">
        <v>13</v>
      </c>
    </row>
    <row r="15" spans="1:10" x14ac:dyDescent="0.3">
      <c r="A15" t="s">
        <v>10</v>
      </c>
      <c r="B15" t="s">
        <v>20</v>
      </c>
      <c r="C15" t="s">
        <v>11</v>
      </c>
      <c r="D15" s="1">
        <v>45988</v>
      </c>
      <c r="E15">
        <v>22</v>
      </c>
      <c r="F15" s="2">
        <v>8.9600000000000009</v>
      </c>
      <c r="G15" s="3">
        <v>197.12</v>
      </c>
      <c r="H15">
        <v>66</v>
      </c>
      <c r="I15" t="s">
        <v>12</v>
      </c>
      <c r="J15" t="s">
        <v>16</v>
      </c>
    </row>
    <row r="16" spans="1:10" x14ac:dyDescent="0.3">
      <c r="A16" t="s">
        <v>26</v>
      </c>
      <c r="B16" t="s">
        <v>20</v>
      </c>
      <c r="C16" t="s">
        <v>11</v>
      </c>
      <c r="D16" s="1">
        <v>45938</v>
      </c>
      <c r="E16">
        <v>12</v>
      </c>
      <c r="F16" s="2">
        <v>47.09</v>
      </c>
      <c r="G16" s="3">
        <v>565.08000000000004</v>
      </c>
      <c r="H16">
        <v>42</v>
      </c>
      <c r="I16" t="s">
        <v>24</v>
      </c>
      <c r="J16" t="s">
        <v>16</v>
      </c>
    </row>
    <row r="17" spans="1:10" x14ac:dyDescent="0.3">
      <c r="A17" t="s">
        <v>22</v>
      </c>
      <c r="B17" t="s">
        <v>25</v>
      </c>
      <c r="C17" t="s">
        <v>15</v>
      </c>
      <c r="D17" s="1">
        <v>46003</v>
      </c>
      <c r="E17">
        <v>2</v>
      </c>
      <c r="F17" s="2">
        <v>81.52</v>
      </c>
      <c r="G17" s="3">
        <v>163.04</v>
      </c>
      <c r="H17">
        <v>92</v>
      </c>
      <c r="I17" t="s">
        <v>18</v>
      </c>
      <c r="J17" t="s">
        <v>16</v>
      </c>
    </row>
    <row r="18" spans="1:10" x14ac:dyDescent="0.3">
      <c r="A18" t="s">
        <v>22</v>
      </c>
      <c r="B18" t="s">
        <v>14</v>
      </c>
      <c r="C18" t="s">
        <v>11</v>
      </c>
      <c r="D18" s="1">
        <v>45396</v>
      </c>
      <c r="E18">
        <v>37</v>
      </c>
      <c r="F18" s="2">
        <v>88.47</v>
      </c>
      <c r="G18" s="3">
        <v>3273.39</v>
      </c>
      <c r="H18">
        <v>62</v>
      </c>
      <c r="I18" t="s">
        <v>18</v>
      </c>
      <c r="J18" t="s">
        <v>13</v>
      </c>
    </row>
    <row r="19" spans="1:10" x14ac:dyDescent="0.3">
      <c r="A19" t="s">
        <v>19</v>
      </c>
      <c r="B19" t="s">
        <v>25</v>
      </c>
      <c r="C19" t="s">
        <v>11</v>
      </c>
      <c r="D19" s="1">
        <v>45309</v>
      </c>
      <c r="E19">
        <v>9</v>
      </c>
      <c r="F19" s="2">
        <v>26.49</v>
      </c>
      <c r="G19" s="3">
        <v>238.41</v>
      </c>
      <c r="H19">
        <v>74</v>
      </c>
      <c r="I19" t="s">
        <v>18</v>
      </c>
      <c r="J19" t="s">
        <v>16</v>
      </c>
    </row>
    <row r="20" spans="1:10" x14ac:dyDescent="0.3">
      <c r="A20" t="s">
        <v>26</v>
      </c>
      <c r="B20" t="s">
        <v>3</v>
      </c>
      <c r="C20" t="s">
        <v>21</v>
      </c>
      <c r="D20" s="1">
        <v>45509</v>
      </c>
      <c r="E20">
        <v>2</v>
      </c>
      <c r="F20" s="2">
        <v>88.19</v>
      </c>
      <c r="G20" s="3">
        <v>176.38</v>
      </c>
      <c r="H20">
        <v>2</v>
      </c>
      <c r="I20" t="s">
        <v>12</v>
      </c>
      <c r="J20" t="s">
        <v>13</v>
      </c>
    </row>
    <row r="21" spans="1:10" x14ac:dyDescent="0.3">
      <c r="A21" t="s">
        <v>19</v>
      </c>
      <c r="B21" t="s">
        <v>20</v>
      </c>
      <c r="C21" t="s">
        <v>21</v>
      </c>
      <c r="D21" s="1">
        <v>45873</v>
      </c>
      <c r="E21">
        <v>36</v>
      </c>
      <c r="F21" s="2">
        <v>9.9700000000000006</v>
      </c>
      <c r="G21" s="3">
        <v>358.92</v>
      </c>
      <c r="H21">
        <v>50</v>
      </c>
      <c r="I21" t="s">
        <v>24</v>
      </c>
      <c r="J21" t="s">
        <v>13</v>
      </c>
    </row>
    <row r="22" spans="1:10" x14ac:dyDescent="0.3">
      <c r="A22" t="s">
        <v>10</v>
      </c>
      <c r="B22" t="s">
        <v>20</v>
      </c>
      <c r="C22" t="s">
        <v>15</v>
      </c>
      <c r="D22" s="1">
        <v>45849</v>
      </c>
      <c r="E22">
        <v>47</v>
      </c>
      <c r="F22" s="2">
        <v>31.77</v>
      </c>
      <c r="G22" s="3">
        <v>1493.19</v>
      </c>
      <c r="H22">
        <v>58</v>
      </c>
      <c r="I22" t="s">
        <v>12</v>
      </c>
      <c r="J22" t="s">
        <v>13</v>
      </c>
    </row>
    <row r="23" spans="1:10" x14ac:dyDescent="0.3">
      <c r="A23" t="s">
        <v>26</v>
      </c>
      <c r="B23" t="s">
        <v>23</v>
      </c>
      <c r="C23" t="s">
        <v>15</v>
      </c>
      <c r="D23" s="1">
        <v>45930</v>
      </c>
      <c r="E23">
        <v>14</v>
      </c>
      <c r="F23" s="2">
        <v>91.46</v>
      </c>
      <c r="G23" s="3">
        <v>1280.44</v>
      </c>
      <c r="H23">
        <v>38</v>
      </c>
      <c r="I23" t="s">
        <v>24</v>
      </c>
      <c r="J23" t="s">
        <v>13</v>
      </c>
    </row>
    <row r="24" spans="1:10" x14ac:dyDescent="0.3">
      <c r="A24" t="s">
        <v>22</v>
      </c>
      <c r="B24" t="s">
        <v>20</v>
      </c>
      <c r="C24" t="s">
        <v>15</v>
      </c>
      <c r="D24" s="1">
        <v>45355</v>
      </c>
      <c r="E24">
        <v>17</v>
      </c>
      <c r="F24" s="2">
        <v>34.26</v>
      </c>
      <c r="G24" s="3">
        <v>582.41999999999996</v>
      </c>
      <c r="H24">
        <v>87</v>
      </c>
      <c r="I24" t="s">
        <v>18</v>
      </c>
      <c r="J24" t="s">
        <v>13</v>
      </c>
    </row>
    <row r="25" spans="1:10" x14ac:dyDescent="0.3">
      <c r="A25" t="s">
        <v>22</v>
      </c>
      <c r="B25" t="s">
        <v>17</v>
      </c>
      <c r="C25" t="s">
        <v>15</v>
      </c>
      <c r="D25" s="1">
        <v>45495</v>
      </c>
      <c r="E25">
        <v>43</v>
      </c>
      <c r="F25" s="2">
        <v>33.99</v>
      </c>
      <c r="G25" s="3">
        <v>1461.57</v>
      </c>
      <c r="H25">
        <v>6</v>
      </c>
      <c r="I25" t="s">
        <v>18</v>
      </c>
      <c r="J25" t="s">
        <v>13</v>
      </c>
    </row>
    <row r="26" spans="1:10" x14ac:dyDescent="0.3">
      <c r="A26" t="s">
        <v>22</v>
      </c>
      <c r="B26" t="s">
        <v>14</v>
      </c>
      <c r="C26" t="s">
        <v>11</v>
      </c>
      <c r="D26" s="1">
        <v>45878</v>
      </c>
      <c r="E26">
        <v>23</v>
      </c>
      <c r="F26" s="2">
        <v>63.9</v>
      </c>
      <c r="G26" s="3">
        <v>1469.7</v>
      </c>
      <c r="H26">
        <v>15</v>
      </c>
      <c r="I26" t="s">
        <v>24</v>
      </c>
      <c r="J26" t="s">
        <v>13</v>
      </c>
    </row>
    <row r="27" spans="1:10" x14ac:dyDescent="0.3">
      <c r="A27" t="s">
        <v>26</v>
      </c>
      <c r="B27" t="s">
        <v>20</v>
      </c>
      <c r="C27" t="s">
        <v>15</v>
      </c>
      <c r="D27" s="1">
        <v>45488</v>
      </c>
      <c r="E27">
        <v>11</v>
      </c>
      <c r="F27" s="2">
        <v>96.21</v>
      </c>
      <c r="G27" s="3">
        <v>1058.31</v>
      </c>
      <c r="H27">
        <v>4</v>
      </c>
      <c r="I27" t="s">
        <v>12</v>
      </c>
      <c r="J27" t="s">
        <v>13</v>
      </c>
    </row>
    <row r="28" spans="1:10" x14ac:dyDescent="0.3">
      <c r="A28" t="s">
        <v>26</v>
      </c>
      <c r="B28" t="s">
        <v>23</v>
      </c>
      <c r="C28" t="s">
        <v>21</v>
      </c>
      <c r="D28" s="1">
        <v>45699</v>
      </c>
      <c r="E28">
        <v>12</v>
      </c>
      <c r="F28" s="2">
        <v>32.18</v>
      </c>
      <c r="G28" s="3">
        <v>386.16</v>
      </c>
      <c r="H28">
        <v>94</v>
      </c>
      <c r="I28" t="s">
        <v>12</v>
      </c>
      <c r="J28" t="s">
        <v>13</v>
      </c>
    </row>
    <row r="29" spans="1:10" x14ac:dyDescent="0.3">
      <c r="A29" t="s">
        <v>22</v>
      </c>
      <c r="B29" t="s">
        <v>23</v>
      </c>
      <c r="C29" t="s">
        <v>11</v>
      </c>
      <c r="D29" s="1">
        <v>45736</v>
      </c>
      <c r="E29">
        <v>19</v>
      </c>
      <c r="F29" s="2">
        <v>4.7</v>
      </c>
      <c r="G29" s="3">
        <v>89.3</v>
      </c>
      <c r="H29">
        <v>89</v>
      </c>
      <c r="I29" t="s">
        <v>12</v>
      </c>
      <c r="J29" t="s">
        <v>16</v>
      </c>
    </row>
    <row r="30" spans="1:10" x14ac:dyDescent="0.3">
      <c r="A30" t="s">
        <v>10</v>
      </c>
      <c r="B30" t="s">
        <v>3</v>
      </c>
      <c r="C30" t="s">
        <v>15</v>
      </c>
      <c r="D30" s="1">
        <v>45713</v>
      </c>
      <c r="E30">
        <v>30</v>
      </c>
      <c r="F30" s="2">
        <v>14.61</v>
      </c>
      <c r="G30" s="3">
        <v>438.3</v>
      </c>
      <c r="H30">
        <v>63</v>
      </c>
      <c r="I30" t="s">
        <v>12</v>
      </c>
      <c r="J30" t="s">
        <v>13</v>
      </c>
    </row>
    <row r="31" spans="1:10" x14ac:dyDescent="0.3">
      <c r="A31" t="s">
        <v>26</v>
      </c>
      <c r="B31" t="s">
        <v>23</v>
      </c>
      <c r="C31" t="s">
        <v>21</v>
      </c>
      <c r="D31" s="1">
        <v>45462</v>
      </c>
      <c r="E31">
        <v>4</v>
      </c>
      <c r="F31" s="2">
        <v>65.62</v>
      </c>
      <c r="G31" s="3">
        <v>262.48</v>
      </c>
      <c r="H31">
        <v>79</v>
      </c>
      <c r="I31" t="s">
        <v>18</v>
      </c>
      <c r="J31" t="s">
        <v>13</v>
      </c>
    </row>
    <row r="32" spans="1:10" x14ac:dyDescent="0.3">
      <c r="A32" t="s">
        <v>22</v>
      </c>
      <c r="B32" t="s">
        <v>3</v>
      </c>
      <c r="C32" t="s">
        <v>15</v>
      </c>
      <c r="D32" s="1">
        <v>45635</v>
      </c>
      <c r="E32">
        <v>8</v>
      </c>
      <c r="F32" s="2">
        <v>11.82</v>
      </c>
      <c r="G32" s="3">
        <v>94.56</v>
      </c>
      <c r="H32">
        <v>67</v>
      </c>
      <c r="I32" t="s">
        <v>18</v>
      </c>
      <c r="J32" t="s">
        <v>13</v>
      </c>
    </row>
    <row r="33" spans="1:10" x14ac:dyDescent="0.3">
      <c r="A33" t="s">
        <v>26</v>
      </c>
      <c r="B33" t="s">
        <v>25</v>
      </c>
      <c r="C33" t="s">
        <v>11</v>
      </c>
      <c r="D33" s="1">
        <v>45509</v>
      </c>
      <c r="E33">
        <v>4</v>
      </c>
      <c r="F33" s="2">
        <v>74.59</v>
      </c>
      <c r="G33" s="3">
        <v>298.36</v>
      </c>
      <c r="H33">
        <v>52</v>
      </c>
      <c r="I33" t="s">
        <v>24</v>
      </c>
      <c r="J33" t="s">
        <v>16</v>
      </c>
    </row>
    <row r="34" spans="1:10" x14ac:dyDescent="0.3">
      <c r="A34" t="s">
        <v>22</v>
      </c>
      <c r="B34" t="s">
        <v>23</v>
      </c>
      <c r="C34" t="s">
        <v>15</v>
      </c>
      <c r="D34" s="1">
        <v>45592</v>
      </c>
      <c r="F34" s="2">
        <v>66.69</v>
      </c>
      <c r="G34" s="3"/>
      <c r="H34">
        <v>31</v>
      </c>
      <c r="I34" t="s">
        <v>18</v>
      </c>
      <c r="J34" t="s">
        <v>16</v>
      </c>
    </row>
    <row r="35" spans="1:10" x14ac:dyDescent="0.3">
      <c r="B35" t="s">
        <v>25</v>
      </c>
      <c r="C35" t="s">
        <v>15</v>
      </c>
      <c r="D35" s="1">
        <v>45484</v>
      </c>
      <c r="E35">
        <v>49</v>
      </c>
      <c r="F35" s="2">
        <v>10.44</v>
      </c>
      <c r="G35" s="3">
        <v>511.56</v>
      </c>
      <c r="H35">
        <v>31</v>
      </c>
      <c r="I35" t="s">
        <v>18</v>
      </c>
      <c r="J35" t="s">
        <v>16</v>
      </c>
    </row>
    <row r="36" spans="1:10" x14ac:dyDescent="0.3">
      <c r="A36" t="s">
        <v>22</v>
      </c>
      <c r="B36" t="s">
        <v>23</v>
      </c>
      <c r="C36" t="s">
        <v>15</v>
      </c>
      <c r="D36" s="1">
        <v>45527</v>
      </c>
      <c r="E36">
        <v>4</v>
      </c>
      <c r="F36" s="2">
        <v>24.29</v>
      </c>
      <c r="G36" s="3">
        <v>97.16</v>
      </c>
      <c r="H36">
        <v>100</v>
      </c>
      <c r="I36" t="s">
        <v>24</v>
      </c>
      <c r="J36" t="s">
        <v>13</v>
      </c>
    </row>
    <row r="37" spans="1:10" x14ac:dyDescent="0.3">
      <c r="A37" t="s">
        <v>19</v>
      </c>
      <c r="B37" t="s">
        <v>25</v>
      </c>
      <c r="C37" t="s">
        <v>11</v>
      </c>
      <c r="D37" s="1">
        <v>45482</v>
      </c>
      <c r="E37">
        <v>2</v>
      </c>
      <c r="F37" s="2">
        <v>66.72</v>
      </c>
      <c r="G37" s="3">
        <v>133.44</v>
      </c>
      <c r="H37">
        <v>53</v>
      </c>
      <c r="I37" t="s">
        <v>24</v>
      </c>
      <c r="J37" t="s">
        <v>16</v>
      </c>
    </row>
    <row r="38" spans="1:10" x14ac:dyDescent="0.3">
      <c r="A38" t="s">
        <v>10</v>
      </c>
      <c r="B38" t="s">
        <v>3</v>
      </c>
      <c r="C38" t="s">
        <v>11</v>
      </c>
      <c r="D38" s="1">
        <v>45538</v>
      </c>
      <c r="E38">
        <v>40</v>
      </c>
      <c r="F38" s="2">
        <v>12.65</v>
      </c>
      <c r="G38" s="3">
        <v>506</v>
      </c>
      <c r="H38">
        <v>52</v>
      </c>
      <c r="I38" t="s">
        <v>18</v>
      </c>
      <c r="J38" t="s">
        <v>13</v>
      </c>
    </row>
    <row r="39" spans="1:10" x14ac:dyDescent="0.3">
      <c r="A39" t="s">
        <v>19</v>
      </c>
      <c r="B39" t="s">
        <v>17</v>
      </c>
      <c r="C39" t="s">
        <v>21</v>
      </c>
      <c r="D39" s="1">
        <v>45418</v>
      </c>
      <c r="E39">
        <v>19</v>
      </c>
      <c r="F39" s="2">
        <v>57.57</v>
      </c>
      <c r="G39" s="3">
        <v>1093.83</v>
      </c>
      <c r="H39">
        <v>1</v>
      </c>
      <c r="I39" t="s">
        <v>24</v>
      </c>
      <c r="J39" t="s">
        <v>13</v>
      </c>
    </row>
    <row r="40" spans="1:10" x14ac:dyDescent="0.3">
      <c r="A40" t="s">
        <v>19</v>
      </c>
      <c r="B40" t="s">
        <v>3</v>
      </c>
      <c r="C40" t="s">
        <v>11</v>
      </c>
      <c r="D40" s="1">
        <v>45625</v>
      </c>
      <c r="E40">
        <v>18</v>
      </c>
      <c r="F40" s="2">
        <v>95.8</v>
      </c>
      <c r="G40" s="3">
        <v>1724.4</v>
      </c>
      <c r="H40">
        <v>91</v>
      </c>
      <c r="I40" t="s">
        <v>24</v>
      </c>
      <c r="J40" t="s">
        <v>16</v>
      </c>
    </row>
    <row r="41" spans="1:10" x14ac:dyDescent="0.3">
      <c r="A41" t="s">
        <v>10</v>
      </c>
      <c r="B41" t="s">
        <v>20</v>
      </c>
      <c r="C41" t="s">
        <v>21</v>
      </c>
      <c r="D41" s="1">
        <v>45739</v>
      </c>
      <c r="E41">
        <v>37</v>
      </c>
      <c r="F41" s="2">
        <v>62.08</v>
      </c>
      <c r="G41" s="3">
        <v>2296.96</v>
      </c>
      <c r="H41">
        <v>87</v>
      </c>
      <c r="I41" t="s">
        <v>24</v>
      </c>
      <c r="J41" t="s">
        <v>16</v>
      </c>
    </row>
    <row r="42" spans="1:10" x14ac:dyDescent="0.3">
      <c r="A42" t="s">
        <v>10</v>
      </c>
      <c r="B42" t="s">
        <v>23</v>
      </c>
      <c r="C42" t="s">
        <v>15</v>
      </c>
      <c r="D42" s="1">
        <v>45889</v>
      </c>
      <c r="E42">
        <v>17</v>
      </c>
      <c r="F42" s="2">
        <v>50.18</v>
      </c>
      <c r="G42" s="3">
        <v>853.06</v>
      </c>
      <c r="H42">
        <v>37</v>
      </c>
      <c r="I42" t="s">
        <v>24</v>
      </c>
      <c r="J42" t="s">
        <v>16</v>
      </c>
    </row>
    <row r="43" spans="1:10" x14ac:dyDescent="0.3">
      <c r="B43" t="s">
        <v>14</v>
      </c>
      <c r="C43" t="s">
        <v>11</v>
      </c>
      <c r="D43" s="1">
        <v>45749</v>
      </c>
      <c r="E43">
        <v>43</v>
      </c>
      <c r="F43" s="2">
        <v>74.97</v>
      </c>
      <c r="G43" s="3">
        <v>3223.71</v>
      </c>
      <c r="H43">
        <v>98</v>
      </c>
      <c r="I43" t="s">
        <v>12</v>
      </c>
      <c r="J43" t="s">
        <v>16</v>
      </c>
    </row>
    <row r="44" spans="1:10" x14ac:dyDescent="0.3">
      <c r="A44" t="s">
        <v>26</v>
      </c>
      <c r="B44" t="s">
        <v>25</v>
      </c>
      <c r="C44" t="s">
        <v>15</v>
      </c>
      <c r="D44" s="1">
        <v>45680</v>
      </c>
      <c r="E44">
        <v>20</v>
      </c>
      <c r="F44" s="2">
        <v>26.56</v>
      </c>
      <c r="G44" s="3">
        <v>531.20000000000005</v>
      </c>
      <c r="H44">
        <v>5</v>
      </c>
      <c r="I44" t="s">
        <v>18</v>
      </c>
      <c r="J44" t="s">
        <v>13</v>
      </c>
    </row>
    <row r="45" spans="1:10" x14ac:dyDescent="0.3">
      <c r="A45" t="s">
        <v>19</v>
      </c>
      <c r="B45" t="s">
        <v>25</v>
      </c>
      <c r="C45" t="s">
        <v>21</v>
      </c>
      <c r="D45" s="1">
        <v>45686</v>
      </c>
      <c r="E45">
        <v>42</v>
      </c>
      <c r="F45" s="2">
        <v>75.86</v>
      </c>
      <c r="G45" s="3">
        <v>3186.12</v>
      </c>
      <c r="H45">
        <v>26</v>
      </c>
      <c r="I45" t="s">
        <v>12</v>
      </c>
      <c r="J45" t="s">
        <v>13</v>
      </c>
    </row>
    <row r="46" spans="1:10" x14ac:dyDescent="0.3">
      <c r="A46" t="s">
        <v>19</v>
      </c>
      <c r="B46" t="s">
        <v>14</v>
      </c>
      <c r="C46" t="s">
        <v>11</v>
      </c>
      <c r="D46" s="1">
        <v>45685</v>
      </c>
      <c r="E46">
        <v>46</v>
      </c>
      <c r="F46" s="2">
        <v>48.9</v>
      </c>
      <c r="G46" s="3">
        <v>2249.4</v>
      </c>
      <c r="H46">
        <v>24</v>
      </c>
      <c r="I46" t="s">
        <v>12</v>
      </c>
      <c r="J46" t="s">
        <v>13</v>
      </c>
    </row>
    <row r="47" spans="1:10" x14ac:dyDescent="0.3">
      <c r="A47" t="s">
        <v>22</v>
      </c>
      <c r="B47" t="s">
        <v>23</v>
      </c>
      <c r="C47" t="s">
        <v>15</v>
      </c>
      <c r="D47" s="1">
        <v>45955</v>
      </c>
      <c r="E47">
        <v>13</v>
      </c>
      <c r="F47" s="2">
        <v>10.029999999999999</v>
      </c>
      <c r="G47" s="3">
        <v>130.38999999999999</v>
      </c>
      <c r="H47">
        <v>2</v>
      </c>
      <c r="I47" t="s">
        <v>12</v>
      </c>
      <c r="J47" t="s">
        <v>13</v>
      </c>
    </row>
    <row r="48" spans="1:10" x14ac:dyDescent="0.3">
      <c r="A48" t="s">
        <v>26</v>
      </c>
      <c r="B48" t="s">
        <v>3</v>
      </c>
      <c r="C48" t="s">
        <v>11</v>
      </c>
      <c r="D48" s="1">
        <v>45693</v>
      </c>
      <c r="E48">
        <v>12</v>
      </c>
      <c r="F48" s="2">
        <v>70.540000000000006</v>
      </c>
      <c r="G48" s="3">
        <v>846.48</v>
      </c>
      <c r="H48">
        <v>61</v>
      </c>
      <c r="I48" t="s">
        <v>24</v>
      </c>
      <c r="J48" t="s">
        <v>13</v>
      </c>
    </row>
    <row r="49" spans="1:10" x14ac:dyDescent="0.3">
      <c r="A49" t="s">
        <v>26</v>
      </c>
      <c r="B49" t="s">
        <v>3</v>
      </c>
      <c r="C49" t="s">
        <v>15</v>
      </c>
      <c r="D49" s="1">
        <v>45463</v>
      </c>
      <c r="E49">
        <v>49</v>
      </c>
      <c r="F49" s="2">
        <v>74.84</v>
      </c>
      <c r="G49" s="3">
        <v>3667.16</v>
      </c>
      <c r="H49">
        <v>2</v>
      </c>
      <c r="I49" t="s">
        <v>18</v>
      </c>
      <c r="J49" t="s">
        <v>13</v>
      </c>
    </row>
    <row r="50" spans="1:10" x14ac:dyDescent="0.3">
      <c r="A50" t="s">
        <v>26</v>
      </c>
      <c r="B50" t="s">
        <v>20</v>
      </c>
      <c r="C50" t="s">
        <v>21</v>
      </c>
      <c r="D50" s="1">
        <v>45747</v>
      </c>
      <c r="E50">
        <v>39</v>
      </c>
      <c r="F50" s="2">
        <v>4.57</v>
      </c>
      <c r="G50" s="3">
        <v>178.23</v>
      </c>
      <c r="H50">
        <v>6</v>
      </c>
      <c r="I50" t="s">
        <v>24</v>
      </c>
      <c r="J50" t="s">
        <v>13</v>
      </c>
    </row>
    <row r="51" spans="1:10" x14ac:dyDescent="0.3">
      <c r="A51" t="s">
        <v>22</v>
      </c>
      <c r="B51" t="s">
        <v>25</v>
      </c>
      <c r="C51" t="s">
        <v>11</v>
      </c>
      <c r="D51" s="1">
        <v>45473</v>
      </c>
      <c r="E51">
        <v>12</v>
      </c>
      <c r="F51" s="2">
        <v>88.02</v>
      </c>
      <c r="G51" s="3">
        <v>1056.24</v>
      </c>
      <c r="H51">
        <v>32</v>
      </c>
      <c r="I51" t="s">
        <v>18</v>
      </c>
      <c r="J51" t="s">
        <v>16</v>
      </c>
    </row>
    <row r="52" spans="1:10" x14ac:dyDescent="0.3">
      <c r="A52" t="s">
        <v>26</v>
      </c>
      <c r="B52" t="s">
        <v>14</v>
      </c>
      <c r="C52" t="s">
        <v>11</v>
      </c>
      <c r="D52" s="1">
        <v>45637</v>
      </c>
      <c r="E52">
        <v>17</v>
      </c>
      <c r="F52" s="2">
        <v>65.41</v>
      </c>
      <c r="G52" s="3">
        <v>1111.97</v>
      </c>
      <c r="H52">
        <v>10</v>
      </c>
      <c r="I52" t="s">
        <v>18</v>
      </c>
      <c r="J52" t="s">
        <v>13</v>
      </c>
    </row>
    <row r="53" spans="1:10" x14ac:dyDescent="0.3">
      <c r="A53" t="s">
        <v>22</v>
      </c>
      <c r="B53" t="s">
        <v>14</v>
      </c>
      <c r="C53" t="s">
        <v>11</v>
      </c>
      <c r="D53" s="1">
        <v>45446</v>
      </c>
      <c r="E53">
        <v>47</v>
      </c>
      <c r="F53" s="2">
        <v>59.8</v>
      </c>
      <c r="G53" s="3">
        <v>2810.6</v>
      </c>
      <c r="H53">
        <v>0</v>
      </c>
      <c r="I53" t="s">
        <v>18</v>
      </c>
      <c r="J53" t="s">
        <v>13</v>
      </c>
    </row>
    <row r="54" spans="1:10" x14ac:dyDescent="0.3">
      <c r="A54" t="s">
        <v>10</v>
      </c>
      <c r="B54" t="s">
        <v>3</v>
      </c>
      <c r="C54" t="s">
        <v>21</v>
      </c>
      <c r="D54" s="1">
        <v>45575</v>
      </c>
      <c r="E54">
        <v>48</v>
      </c>
      <c r="F54" s="2">
        <v>15.94</v>
      </c>
      <c r="G54" s="3">
        <v>765.12</v>
      </c>
      <c r="H54">
        <v>49</v>
      </c>
      <c r="I54" t="s">
        <v>12</v>
      </c>
      <c r="J54" t="s">
        <v>13</v>
      </c>
    </row>
    <row r="55" spans="1:10" x14ac:dyDescent="0.3">
      <c r="A55" t="s">
        <v>26</v>
      </c>
      <c r="B55" t="s">
        <v>25</v>
      </c>
      <c r="C55" t="s">
        <v>15</v>
      </c>
      <c r="D55" s="1">
        <v>45353</v>
      </c>
      <c r="E55">
        <v>4</v>
      </c>
      <c r="F55" s="2">
        <v>85.4</v>
      </c>
      <c r="G55" s="3">
        <v>341.6</v>
      </c>
      <c r="H55">
        <v>78</v>
      </c>
      <c r="I55" t="s">
        <v>18</v>
      </c>
      <c r="J55" t="s">
        <v>16</v>
      </c>
    </row>
    <row r="56" spans="1:10" x14ac:dyDescent="0.3">
      <c r="A56" t="s">
        <v>26</v>
      </c>
      <c r="B56" t="s">
        <v>20</v>
      </c>
      <c r="C56" t="s">
        <v>11</v>
      </c>
      <c r="D56" s="1">
        <v>45702</v>
      </c>
      <c r="E56">
        <v>36</v>
      </c>
      <c r="F56" s="2">
        <v>98.64</v>
      </c>
      <c r="G56" s="3">
        <v>3551.04</v>
      </c>
      <c r="H56">
        <v>56</v>
      </c>
      <c r="I56" t="s">
        <v>18</v>
      </c>
      <c r="J56" t="s">
        <v>13</v>
      </c>
    </row>
    <row r="57" spans="1:10" x14ac:dyDescent="0.3">
      <c r="A57" t="s">
        <v>26</v>
      </c>
      <c r="B57" t="s">
        <v>3</v>
      </c>
      <c r="C57" t="s">
        <v>11</v>
      </c>
      <c r="D57" s="1">
        <v>45797</v>
      </c>
      <c r="E57">
        <v>5</v>
      </c>
      <c r="F57" s="2">
        <v>38.64</v>
      </c>
      <c r="G57" s="3">
        <v>193.2</v>
      </c>
      <c r="H57">
        <v>78</v>
      </c>
      <c r="I57" t="s">
        <v>12</v>
      </c>
      <c r="J57" t="s">
        <v>16</v>
      </c>
    </row>
    <row r="58" spans="1:10" x14ac:dyDescent="0.3">
      <c r="A58" t="s">
        <v>10</v>
      </c>
      <c r="B58" t="s">
        <v>17</v>
      </c>
      <c r="C58" t="s">
        <v>15</v>
      </c>
      <c r="D58" s="1">
        <v>45869</v>
      </c>
      <c r="E58">
        <v>49</v>
      </c>
      <c r="F58" s="2">
        <v>25.37</v>
      </c>
      <c r="G58" s="3">
        <v>1243.1300000000001</v>
      </c>
      <c r="H58">
        <v>64</v>
      </c>
      <c r="I58" t="s">
        <v>12</v>
      </c>
      <c r="J58" t="s">
        <v>16</v>
      </c>
    </row>
    <row r="59" spans="1:10" x14ac:dyDescent="0.3">
      <c r="A59" t="s">
        <v>10</v>
      </c>
      <c r="B59" t="s">
        <v>17</v>
      </c>
      <c r="C59" t="s">
        <v>11</v>
      </c>
      <c r="D59" s="1">
        <v>45767</v>
      </c>
      <c r="E59">
        <v>26</v>
      </c>
      <c r="F59" s="2">
        <v>94.78</v>
      </c>
      <c r="G59" s="3">
        <v>2464.2800000000002</v>
      </c>
      <c r="H59">
        <v>4</v>
      </c>
      <c r="I59" t="s">
        <v>12</v>
      </c>
      <c r="J59" t="s">
        <v>16</v>
      </c>
    </row>
    <row r="60" spans="1:10" x14ac:dyDescent="0.3">
      <c r="A60" t="s">
        <v>26</v>
      </c>
      <c r="B60" t="s">
        <v>20</v>
      </c>
      <c r="C60" t="s">
        <v>15</v>
      </c>
      <c r="D60" s="1">
        <v>45454</v>
      </c>
      <c r="E60">
        <v>46</v>
      </c>
      <c r="F60" s="2">
        <v>12.95</v>
      </c>
      <c r="G60" s="3">
        <v>595.70000000000005</v>
      </c>
      <c r="H60">
        <v>55</v>
      </c>
      <c r="I60" t="s">
        <v>24</v>
      </c>
      <c r="J60" t="s">
        <v>16</v>
      </c>
    </row>
    <row r="61" spans="1:10" x14ac:dyDescent="0.3">
      <c r="A61" t="s">
        <v>19</v>
      </c>
      <c r="B61" t="s">
        <v>3</v>
      </c>
      <c r="C61" t="s">
        <v>15</v>
      </c>
      <c r="D61" s="1">
        <v>45460</v>
      </c>
      <c r="E61">
        <v>8</v>
      </c>
      <c r="F61" s="2">
        <v>19.920000000000002</v>
      </c>
      <c r="G61" s="3">
        <v>159.36000000000001</v>
      </c>
      <c r="H61">
        <v>91</v>
      </c>
      <c r="I61" t="s">
        <v>24</v>
      </c>
      <c r="J61" t="s">
        <v>16</v>
      </c>
    </row>
    <row r="62" spans="1:10" x14ac:dyDescent="0.3">
      <c r="A62" t="s">
        <v>22</v>
      </c>
      <c r="B62" t="s">
        <v>3</v>
      </c>
      <c r="C62" t="s">
        <v>11</v>
      </c>
      <c r="D62" s="1">
        <v>45688</v>
      </c>
      <c r="E62">
        <v>40</v>
      </c>
      <c r="F62" s="2">
        <v>3.8</v>
      </c>
      <c r="G62" s="3">
        <v>152</v>
      </c>
      <c r="H62">
        <v>8</v>
      </c>
      <c r="I62" t="s">
        <v>24</v>
      </c>
      <c r="J62" t="s">
        <v>13</v>
      </c>
    </row>
    <row r="63" spans="1:10" x14ac:dyDescent="0.3">
      <c r="A63" t="s">
        <v>10</v>
      </c>
      <c r="B63" t="s">
        <v>25</v>
      </c>
      <c r="C63" t="s">
        <v>15</v>
      </c>
      <c r="D63" s="1">
        <v>45799</v>
      </c>
      <c r="E63">
        <v>32</v>
      </c>
      <c r="F63" s="2">
        <v>20.329999999999998</v>
      </c>
      <c r="G63" s="3">
        <v>650.55999999999995</v>
      </c>
      <c r="H63">
        <v>63</v>
      </c>
      <c r="I63" t="s">
        <v>18</v>
      </c>
      <c r="J63" t="s">
        <v>13</v>
      </c>
    </row>
    <row r="64" spans="1:10" x14ac:dyDescent="0.3">
      <c r="A64" t="s">
        <v>26</v>
      </c>
      <c r="B64" t="s">
        <v>3</v>
      </c>
      <c r="C64" t="s">
        <v>21</v>
      </c>
      <c r="D64" s="1">
        <v>45679</v>
      </c>
      <c r="E64">
        <v>46</v>
      </c>
      <c r="F64" s="2">
        <v>21.14</v>
      </c>
      <c r="G64" s="3">
        <v>972.44</v>
      </c>
      <c r="H64">
        <v>80</v>
      </c>
      <c r="I64" t="s">
        <v>12</v>
      </c>
      <c r="J64" t="s">
        <v>16</v>
      </c>
    </row>
    <row r="65" spans="1:10" x14ac:dyDescent="0.3">
      <c r="A65" t="s">
        <v>10</v>
      </c>
      <c r="B65" t="s">
        <v>23</v>
      </c>
      <c r="C65" t="s">
        <v>15</v>
      </c>
      <c r="D65" s="1">
        <v>45949</v>
      </c>
      <c r="E65">
        <v>33</v>
      </c>
      <c r="F65" s="2">
        <v>78.28</v>
      </c>
      <c r="G65" s="3">
        <v>2583.2399999999998</v>
      </c>
      <c r="H65">
        <v>83</v>
      </c>
      <c r="I65" t="s">
        <v>18</v>
      </c>
      <c r="J65" t="s">
        <v>13</v>
      </c>
    </row>
    <row r="66" spans="1:10" x14ac:dyDescent="0.3">
      <c r="B66" t="s">
        <v>23</v>
      </c>
      <c r="C66" t="s">
        <v>15</v>
      </c>
      <c r="D66" s="1">
        <v>45769</v>
      </c>
      <c r="E66">
        <v>22</v>
      </c>
      <c r="F66" s="2">
        <v>26.36</v>
      </c>
      <c r="G66" s="3">
        <v>579.91999999999996</v>
      </c>
      <c r="H66">
        <v>0</v>
      </c>
      <c r="I66" t="s">
        <v>12</v>
      </c>
      <c r="J66" t="s">
        <v>16</v>
      </c>
    </row>
    <row r="67" spans="1:10" x14ac:dyDescent="0.3">
      <c r="A67" t="s">
        <v>26</v>
      </c>
      <c r="B67" t="s">
        <v>25</v>
      </c>
      <c r="C67" t="s">
        <v>21</v>
      </c>
      <c r="D67" s="1">
        <v>45695</v>
      </c>
      <c r="E67">
        <v>46</v>
      </c>
      <c r="F67" s="2">
        <v>1.37</v>
      </c>
      <c r="G67" s="3">
        <v>63.02</v>
      </c>
      <c r="H67">
        <v>58</v>
      </c>
      <c r="I67" t="s">
        <v>24</v>
      </c>
      <c r="J67" t="s">
        <v>16</v>
      </c>
    </row>
    <row r="68" spans="1:10" x14ac:dyDescent="0.3">
      <c r="A68" t="s">
        <v>19</v>
      </c>
      <c r="B68" t="s">
        <v>3</v>
      </c>
      <c r="C68" t="s">
        <v>15</v>
      </c>
      <c r="D68" s="1">
        <v>45419</v>
      </c>
      <c r="E68">
        <v>9</v>
      </c>
      <c r="F68" s="2">
        <v>37.54</v>
      </c>
      <c r="G68" s="3">
        <v>337.86</v>
      </c>
      <c r="H68">
        <v>73</v>
      </c>
      <c r="I68" t="s">
        <v>24</v>
      </c>
      <c r="J68" t="s">
        <v>16</v>
      </c>
    </row>
    <row r="69" spans="1:10" x14ac:dyDescent="0.3">
      <c r="A69" t="s">
        <v>26</v>
      </c>
      <c r="B69" t="s">
        <v>20</v>
      </c>
      <c r="C69" t="s">
        <v>11</v>
      </c>
      <c r="D69" s="1">
        <v>45904</v>
      </c>
      <c r="E69">
        <v>10</v>
      </c>
      <c r="F69" s="2">
        <v>61.17</v>
      </c>
      <c r="G69" s="3">
        <v>611.70000000000005</v>
      </c>
      <c r="H69">
        <v>56</v>
      </c>
      <c r="I69" t="s">
        <v>24</v>
      </c>
      <c r="J69" t="s">
        <v>16</v>
      </c>
    </row>
    <row r="70" spans="1:10" x14ac:dyDescent="0.3">
      <c r="A70" t="s">
        <v>10</v>
      </c>
      <c r="B70" t="s">
        <v>23</v>
      </c>
      <c r="C70" t="s">
        <v>11</v>
      </c>
      <c r="D70" s="1">
        <v>45537</v>
      </c>
      <c r="E70">
        <v>3</v>
      </c>
      <c r="F70" s="2">
        <v>88.19</v>
      </c>
      <c r="G70" s="3">
        <v>264.57</v>
      </c>
      <c r="H70">
        <v>6</v>
      </c>
      <c r="I70" t="s">
        <v>24</v>
      </c>
      <c r="J70" t="s">
        <v>13</v>
      </c>
    </row>
    <row r="71" spans="1:10" x14ac:dyDescent="0.3">
      <c r="A71" t="s">
        <v>10</v>
      </c>
      <c r="B71" t="s">
        <v>17</v>
      </c>
      <c r="C71" t="s">
        <v>15</v>
      </c>
      <c r="D71" s="1">
        <v>45513</v>
      </c>
      <c r="E71">
        <v>45</v>
      </c>
      <c r="F71" s="2">
        <v>78.3</v>
      </c>
      <c r="G71" s="3">
        <v>3523.5</v>
      </c>
      <c r="H71">
        <v>59</v>
      </c>
      <c r="I71" t="s">
        <v>12</v>
      </c>
      <c r="J71" t="s">
        <v>13</v>
      </c>
    </row>
    <row r="72" spans="1:10" x14ac:dyDescent="0.3">
      <c r="A72" t="s">
        <v>26</v>
      </c>
      <c r="B72" t="s">
        <v>3</v>
      </c>
      <c r="C72" t="s">
        <v>15</v>
      </c>
      <c r="D72" s="1">
        <v>45982</v>
      </c>
      <c r="E72">
        <v>6</v>
      </c>
      <c r="F72" s="2">
        <v>43.69</v>
      </c>
      <c r="G72" s="3">
        <v>262.14</v>
      </c>
      <c r="H72">
        <v>57</v>
      </c>
      <c r="I72" t="s">
        <v>18</v>
      </c>
      <c r="J72" t="s">
        <v>13</v>
      </c>
    </row>
    <row r="73" spans="1:10" x14ac:dyDescent="0.3">
      <c r="A73" t="s">
        <v>19</v>
      </c>
      <c r="B73" t="s">
        <v>25</v>
      </c>
      <c r="C73" t="s">
        <v>15</v>
      </c>
      <c r="D73" s="1">
        <v>45962</v>
      </c>
      <c r="E73">
        <v>46</v>
      </c>
      <c r="F73" s="2">
        <v>91.03</v>
      </c>
      <c r="G73" s="3">
        <v>4187.38</v>
      </c>
      <c r="H73">
        <v>63</v>
      </c>
      <c r="I73" t="s">
        <v>24</v>
      </c>
      <c r="J73" t="s">
        <v>16</v>
      </c>
    </row>
    <row r="74" spans="1:10" x14ac:dyDescent="0.3">
      <c r="A74" t="s">
        <v>19</v>
      </c>
      <c r="B74" t="s">
        <v>14</v>
      </c>
      <c r="C74" t="s">
        <v>11</v>
      </c>
      <c r="D74" s="1">
        <v>45674</v>
      </c>
      <c r="E74">
        <v>42</v>
      </c>
      <c r="F74" s="2">
        <v>74.42</v>
      </c>
      <c r="G74" s="3">
        <v>3125.64</v>
      </c>
      <c r="H74">
        <v>48</v>
      </c>
      <c r="I74" t="s">
        <v>18</v>
      </c>
      <c r="J74" t="s">
        <v>13</v>
      </c>
    </row>
    <row r="75" spans="1:10" x14ac:dyDescent="0.3">
      <c r="A75" t="s">
        <v>22</v>
      </c>
      <c r="B75" t="s">
        <v>17</v>
      </c>
      <c r="C75" t="s">
        <v>15</v>
      </c>
      <c r="D75" s="1">
        <v>45388</v>
      </c>
      <c r="E75">
        <v>39</v>
      </c>
      <c r="F75" s="2">
        <v>46.25</v>
      </c>
      <c r="G75" s="3">
        <v>1803.75</v>
      </c>
      <c r="H75">
        <v>81</v>
      </c>
      <c r="I75" t="s">
        <v>12</v>
      </c>
      <c r="J75" t="s">
        <v>13</v>
      </c>
    </row>
    <row r="76" spans="1:10" x14ac:dyDescent="0.3">
      <c r="A76" t="s">
        <v>10</v>
      </c>
      <c r="B76" t="s">
        <v>17</v>
      </c>
      <c r="C76" t="s">
        <v>21</v>
      </c>
      <c r="D76" s="1">
        <v>45385</v>
      </c>
      <c r="E76">
        <v>26</v>
      </c>
      <c r="F76" s="2">
        <v>85.2</v>
      </c>
      <c r="G76" s="3">
        <v>2215.1999999999998</v>
      </c>
      <c r="H76">
        <v>98</v>
      </c>
      <c r="I76" t="s">
        <v>24</v>
      </c>
      <c r="J76" t="s">
        <v>16</v>
      </c>
    </row>
    <row r="77" spans="1:10" x14ac:dyDescent="0.3">
      <c r="A77" t="s">
        <v>19</v>
      </c>
      <c r="B77" t="s">
        <v>17</v>
      </c>
      <c r="C77" t="s">
        <v>21</v>
      </c>
      <c r="D77" s="1">
        <v>45358</v>
      </c>
      <c r="E77">
        <v>7</v>
      </c>
      <c r="F77" s="2">
        <v>74.34</v>
      </c>
      <c r="G77" s="3">
        <v>520.38</v>
      </c>
      <c r="H77">
        <v>54</v>
      </c>
      <c r="I77" t="s">
        <v>12</v>
      </c>
      <c r="J77" t="s">
        <v>13</v>
      </c>
    </row>
    <row r="78" spans="1:10" x14ac:dyDescent="0.3">
      <c r="A78" t="s">
        <v>26</v>
      </c>
      <c r="B78" t="s">
        <v>3</v>
      </c>
      <c r="C78" t="s">
        <v>21</v>
      </c>
      <c r="D78" s="1">
        <v>45801</v>
      </c>
      <c r="E78">
        <v>20</v>
      </c>
      <c r="F78" s="2">
        <v>57.38</v>
      </c>
      <c r="G78" s="3">
        <v>1147.5999999999999</v>
      </c>
      <c r="H78">
        <v>63</v>
      </c>
      <c r="I78" t="s">
        <v>18</v>
      </c>
      <c r="J78" t="s">
        <v>13</v>
      </c>
    </row>
    <row r="79" spans="1:10" x14ac:dyDescent="0.3">
      <c r="A79" t="s">
        <v>22</v>
      </c>
      <c r="B79" t="s">
        <v>25</v>
      </c>
      <c r="C79" t="s">
        <v>15</v>
      </c>
      <c r="D79" s="1">
        <v>45868</v>
      </c>
      <c r="E79">
        <v>49</v>
      </c>
      <c r="F79" s="2">
        <v>22.11</v>
      </c>
      <c r="G79" s="3">
        <v>1083.3900000000001</v>
      </c>
      <c r="H79">
        <v>97</v>
      </c>
      <c r="I79" t="s">
        <v>12</v>
      </c>
      <c r="J79" t="s">
        <v>16</v>
      </c>
    </row>
    <row r="80" spans="1:10" x14ac:dyDescent="0.3">
      <c r="A80" t="s">
        <v>22</v>
      </c>
      <c r="B80" t="s">
        <v>17</v>
      </c>
      <c r="C80" t="s">
        <v>11</v>
      </c>
      <c r="D80" s="1">
        <v>45867</v>
      </c>
      <c r="E80">
        <v>11</v>
      </c>
      <c r="F80" s="2">
        <v>36.81</v>
      </c>
      <c r="G80" s="3">
        <v>404.91</v>
      </c>
      <c r="H80">
        <v>28</v>
      </c>
      <c r="I80" t="s">
        <v>12</v>
      </c>
      <c r="J80" t="s">
        <v>13</v>
      </c>
    </row>
    <row r="81" spans="1:10" x14ac:dyDescent="0.3">
      <c r="A81" t="s">
        <v>19</v>
      </c>
      <c r="B81" t="s">
        <v>3</v>
      </c>
      <c r="C81" t="s">
        <v>11</v>
      </c>
      <c r="D81" s="1">
        <v>45408</v>
      </c>
      <c r="E81">
        <v>27</v>
      </c>
      <c r="F81" s="2">
        <v>53.59</v>
      </c>
      <c r="G81" s="3">
        <v>1446.93</v>
      </c>
      <c r="H81">
        <v>33</v>
      </c>
      <c r="I81" t="s">
        <v>18</v>
      </c>
      <c r="J8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0825-E96C-4D3E-B63E-1980E743726B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31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104</v>
      </c>
      <c r="D6" s="6">
        <v>137</v>
      </c>
      <c r="E6" s="6">
        <v>194</v>
      </c>
      <c r="F6" s="6">
        <v>435</v>
      </c>
    </row>
    <row r="7" spans="2:6" x14ac:dyDescent="0.3">
      <c r="B7" s="5" t="s">
        <v>26</v>
      </c>
      <c r="C7" s="6">
        <v>188</v>
      </c>
      <c r="D7" s="6">
        <v>150</v>
      </c>
      <c r="E7" s="6">
        <v>134</v>
      </c>
      <c r="F7" s="6">
        <v>472</v>
      </c>
    </row>
    <row r="8" spans="2:6" x14ac:dyDescent="0.3">
      <c r="B8" s="5" t="s">
        <v>10</v>
      </c>
      <c r="C8" s="6">
        <v>160</v>
      </c>
      <c r="D8" s="6">
        <v>266</v>
      </c>
      <c r="E8" s="6">
        <v>162</v>
      </c>
      <c r="F8" s="6">
        <v>588</v>
      </c>
    </row>
    <row r="9" spans="2:6" x14ac:dyDescent="0.3">
      <c r="B9" s="5" t="s">
        <v>22</v>
      </c>
      <c r="C9" s="6">
        <v>81</v>
      </c>
      <c r="D9" s="6">
        <v>175</v>
      </c>
      <c r="E9" s="6">
        <v>189</v>
      </c>
      <c r="F9" s="6">
        <v>445</v>
      </c>
    </row>
    <row r="10" spans="2:6" x14ac:dyDescent="0.3">
      <c r="B10" s="5" t="s">
        <v>28</v>
      </c>
      <c r="C10" s="6"/>
      <c r="D10" s="6">
        <v>71</v>
      </c>
      <c r="E10" s="6">
        <v>43</v>
      </c>
      <c r="F10" s="6">
        <v>114</v>
      </c>
    </row>
    <row r="11" spans="2:6" x14ac:dyDescent="0.3">
      <c r="B11" s="5" t="s">
        <v>29</v>
      </c>
      <c r="C11" s="6">
        <v>533</v>
      </c>
      <c r="D11" s="6">
        <v>799</v>
      </c>
      <c r="E11" s="6">
        <v>722</v>
      </c>
      <c r="F11" s="6">
        <v>2054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8551-7E0F-454D-BDAA-6A983017DD99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77734375" bestFit="1" customWidth="1"/>
  </cols>
  <sheetData>
    <row r="4" spans="2:3" x14ac:dyDescent="0.3">
      <c r="B4" s="4" t="s">
        <v>27</v>
      </c>
      <c r="C4" t="s">
        <v>32</v>
      </c>
    </row>
    <row r="5" spans="2:3" x14ac:dyDescent="0.3">
      <c r="B5" s="5" t="s">
        <v>17</v>
      </c>
      <c r="C5" s="7">
        <v>514</v>
      </c>
    </row>
    <row r="6" spans="2:3" x14ac:dyDescent="0.3">
      <c r="B6" s="5" t="s">
        <v>25</v>
      </c>
      <c r="C6" s="7">
        <v>839</v>
      </c>
    </row>
    <row r="7" spans="2:3" x14ac:dyDescent="0.3">
      <c r="B7" s="5" t="s">
        <v>14</v>
      </c>
      <c r="C7" s="7">
        <v>357</v>
      </c>
    </row>
    <row r="8" spans="2:3" x14ac:dyDescent="0.3">
      <c r="B8" s="5" t="s">
        <v>3</v>
      </c>
      <c r="C8" s="7">
        <v>1087</v>
      </c>
    </row>
    <row r="9" spans="2:3" x14ac:dyDescent="0.3">
      <c r="B9" s="5" t="s">
        <v>23</v>
      </c>
      <c r="C9" s="7">
        <v>624</v>
      </c>
    </row>
    <row r="10" spans="2:3" x14ac:dyDescent="0.3">
      <c r="B10" s="5" t="s">
        <v>20</v>
      </c>
      <c r="C10" s="7">
        <v>704</v>
      </c>
    </row>
    <row r="11" spans="2:3" x14ac:dyDescent="0.3">
      <c r="B11" s="5" t="s">
        <v>29</v>
      </c>
      <c r="C11" s="7">
        <v>4125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2611C-EF5B-4BF2-A361-A3B972972864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33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4</v>
      </c>
      <c r="D6" s="6">
        <v>6</v>
      </c>
      <c r="E6" s="6">
        <v>7</v>
      </c>
      <c r="F6" s="6">
        <v>17</v>
      </c>
    </row>
    <row r="7" spans="2:6" x14ac:dyDescent="0.3">
      <c r="B7" s="5" t="s">
        <v>26</v>
      </c>
      <c r="C7" s="6">
        <v>8</v>
      </c>
      <c r="D7" s="6">
        <v>7</v>
      </c>
      <c r="E7" s="6">
        <v>8</v>
      </c>
      <c r="F7" s="6">
        <v>23</v>
      </c>
    </row>
    <row r="8" spans="2:6" x14ac:dyDescent="0.3">
      <c r="B8" s="5" t="s">
        <v>10</v>
      </c>
      <c r="C8" s="6">
        <v>4</v>
      </c>
      <c r="D8" s="6">
        <v>8</v>
      </c>
      <c r="E8" s="6">
        <v>7</v>
      </c>
      <c r="F8" s="6">
        <v>19</v>
      </c>
    </row>
    <row r="9" spans="2:6" x14ac:dyDescent="0.3">
      <c r="B9" s="5" t="s">
        <v>22</v>
      </c>
      <c r="C9" s="6">
        <v>2</v>
      </c>
      <c r="D9" s="6">
        <v>8</v>
      </c>
      <c r="E9" s="6">
        <v>7</v>
      </c>
      <c r="F9" s="6">
        <v>17</v>
      </c>
    </row>
    <row r="10" spans="2:6" x14ac:dyDescent="0.3">
      <c r="B10" s="5" t="s">
        <v>28</v>
      </c>
      <c r="C10" s="6"/>
      <c r="D10" s="6">
        <v>2</v>
      </c>
      <c r="E10" s="6">
        <v>1</v>
      </c>
      <c r="F10" s="6">
        <v>3</v>
      </c>
    </row>
    <row r="11" spans="2:6" x14ac:dyDescent="0.3">
      <c r="B11" s="5" t="s">
        <v>29</v>
      </c>
      <c r="C11" s="6">
        <v>18</v>
      </c>
      <c r="D11" s="6">
        <v>31</v>
      </c>
      <c r="E11" s="6">
        <v>30</v>
      </c>
      <c r="F11" s="6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98C4-C448-455E-B4AB-C50660D1C4FC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2.88671875" bestFit="1" customWidth="1"/>
  </cols>
  <sheetData>
    <row r="4" spans="2:3" x14ac:dyDescent="0.3">
      <c r="B4" s="4" t="s">
        <v>27</v>
      </c>
      <c r="C4" t="s">
        <v>34</v>
      </c>
    </row>
    <row r="5" spans="2:3" x14ac:dyDescent="0.3">
      <c r="B5" s="5" t="s">
        <v>17</v>
      </c>
      <c r="C5" s="7">
        <v>11</v>
      </c>
    </row>
    <row r="6" spans="2:3" x14ac:dyDescent="0.3">
      <c r="B6" s="5" t="s">
        <v>25</v>
      </c>
      <c r="C6" s="7">
        <v>15</v>
      </c>
    </row>
    <row r="7" spans="2:3" x14ac:dyDescent="0.3">
      <c r="B7" s="5" t="s">
        <v>14</v>
      </c>
      <c r="C7" s="7">
        <v>9</v>
      </c>
    </row>
    <row r="8" spans="2:3" x14ac:dyDescent="0.3">
      <c r="B8" s="5" t="s">
        <v>3</v>
      </c>
      <c r="C8" s="7">
        <v>20</v>
      </c>
    </row>
    <row r="9" spans="2:3" x14ac:dyDescent="0.3">
      <c r="B9" s="5" t="s">
        <v>23</v>
      </c>
      <c r="C9" s="7">
        <v>12</v>
      </c>
    </row>
    <row r="10" spans="2:3" x14ac:dyDescent="0.3">
      <c r="B10" s="5" t="s">
        <v>20</v>
      </c>
      <c r="C10" s="7">
        <v>13</v>
      </c>
    </row>
    <row r="11" spans="2:3" x14ac:dyDescent="0.3">
      <c r="B11" s="5" t="s">
        <v>29</v>
      </c>
      <c r="C11" s="7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96619-C014-47CD-9A97-58AC720B7E61}">
  <dimension ref="B4:F11"/>
  <sheetViews>
    <sheetView workbookViewId="0"/>
  </sheetViews>
  <sheetFormatPr defaultRowHeight="14.4" x14ac:dyDescent="0.3"/>
  <cols>
    <col min="2" max="2" width="14.21875" bestFit="1" customWidth="1"/>
    <col min="3" max="3" width="15.5546875" bestFit="1" customWidth="1"/>
    <col min="4" max="6" width="12" bestFit="1" customWidth="1"/>
  </cols>
  <sheetData>
    <row r="4" spans="2:6" x14ac:dyDescent="0.3">
      <c r="B4" s="4" t="s">
        <v>35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26</v>
      </c>
      <c r="D6" s="6">
        <v>22.833333333333332</v>
      </c>
      <c r="E6" s="6">
        <v>27.714285714285715</v>
      </c>
      <c r="F6" s="6">
        <v>25.588235294117649</v>
      </c>
    </row>
    <row r="7" spans="2:6" x14ac:dyDescent="0.3">
      <c r="B7" s="5" t="s">
        <v>26</v>
      </c>
      <c r="C7" s="6">
        <v>23.5</v>
      </c>
      <c r="D7" s="6">
        <v>21.428571428571427</v>
      </c>
      <c r="E7" s="6">
        <v>16.75</v>
      </c>
      <c r="F7" s="6">
        <v>20.521739130434781</v>
      </c>
    </row>
    <row r="8" spans="2:6" x14ac:dyDescent="0.3">
      <c r="B8" s="5" t="s">
        <v>10</v>
      </c>
      <c r="C8" s="6">
        <v>40</v>
      </c>
      <c r="D8" s="6">
        <v>33.25</v>
      </c>
      <c r="E8" s="6">
        <v>23.142857142857142</v>
      </c>
      <c r="F8" s="6">
        <v>30.94736842105263</v>
      </c>
    </row>
    <row r="9" spans="2:6" x14ac:dyDescent="0.3">
      <c r="B9" s="5" t="s">
        <v>22</v>
      </c>
      <c r="C9" s="6">
        <v>40.5</v>
      </c>
      <c r="D9" s="6">
        <v>21.875</v>
      </c>
      <c r="E9" s="6">
        <v>27</v>
      </c>
      <c r="F9" s="6">
        <v>26.176470588235293</v>
      </c>
    </row>
    <row r="10" spans="2:6" x14ac:dyDescent="0.3">
      <c r="B10" s="5" t="s">
        <v>28</v>
      </c>
      <c r="C10" s="6"/>
      <c r="D10" s="6">
        <v>35.5</v>
      </c>
      <c r="E10" s="6">
        <v>43</v>
      </c>
      <c r="F10" s="6">
        <v>38</v>
      </c>
    </row>
    <row r="11" spans="2:6" x14ac:dyDescent="0.3">
      <c r="B11" s="5" t="s">
        <v>29</v>
      </c>
      <c r="C11" s="6">
        <v>29.611111111111111</v>
      </c>
      <c r="D11" s="6">
        <v>25.774193548387096</v>
      </c>
      <c r="E11" s="6">
        <v>24.066666666666666</v>
      </c>
      <c r="F11" s="6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A126-E6D9-4AB8-8748-E7B1AE504C80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4.6640625" bestFit="1" customWidth="1"/>
  </cols>
  <sheetData>
    <row r="4" spans="2:3" x14ac:dyDescent="0.3">
      <c r="B4" s="4" t="s">
        <v>27</v>
      </c>
      <c r="C4" t="s">
        <v>36</v>
      </c>
    </row>
    <row r="5" spans="2:3" x14ac:dyDescent="0.3">
      <c r="B5" s="5" t="s">
        <v>17</v>
      </c>
      <c r="C5" s="7">
        <v>46.727272727272727</v>
      </c>
    </row>
    <row r="6" spans="2:3" x14ac:dyDescent="0.3">
      <c r="B6" s="5" t="s">
        <v>25</v>
      </c>
      <c r="C6" s="7">
        <v>55.93333333333333</v>
      </c>
    </row>
    <row r="7" spans="2:3" x14ac:dyDescent="0.3">
      <c r="B7" s="5" t="s">
        <v>14</v>
      </c>
      <c r="C7" s="7">
        <v>39.666666666666664</v>
      </c>
    </row>
    <row r="8" spans="2:3" x14ac:dyDescent="0.3">
      <c r="B8" s="5" t="s">
        <v>3</v>
      </c>
      <c r="C8" s="7">
        <v>54.35</v>
      </c>
    </row>
    <row r="9" spans="2:3" x14ac:dyDescent="0.3">
      <c r="B9" s="5" t="s">
        <v>23</v>
      </c>
      <c r="C9" s="7">
        <v>52</v>
      </c>
    </row>
    <row r="10" spans="2:3" x14ac:dyDescent="0.3">
      <c r="B10" s="5" t="s">
        <v>20</v>
      </c>
      <c r="C10" s="7">
        <v>54.153846153846153</v>
      </c>
    </row>
    <row r="11" spans="2:3" x14ac:dyDescent="0.3">
      <c r="B11" s="5" t="s">
        <v>29</v>
      </c>
      <c r="C11" s="7">
        <v>51.5625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F537A-3A63-4950-A683-527DF930F4D5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37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42</v>
      </c>
      <c r="D6" s="6">
        <v>46</v>
      </c>
      <c r="E6" s="6">
        <v>50</v>
      </c>
      <c r="F6" s="6">
        <v>50</v>
      </c>
    </row>
    <row r="7" spans="2:6" x14ac:dyDescent="0.3">
      <c r="B7" s="5" t="s">
        <v>26</v>
      </c>
      <c r="C7" s="6">
        <v>46</v>
      </c>
      <c r="D7" s="6">
        <v>49</v>
      </c>
      <c r="E7" s="6">
        <v>38</v>
      </c>
      <c r="F7" s="6">
        <v>49</v>
      </c>
    </row>
    <row r="8" spans="2:6" x14ac:dyDescent="0.3">
      <c r="B8" s="5" t="s">
        <v>10</v>
      </c>
      <c r="C8" s="6">
        <v>49</v>
      </c>
      <c r="D8" s="6">
        <v>49</v>
      </c>
      <c r="E8" s="6">
        <v>47</v>
      </c>
      <c r="F8" s="6">
        <v>49</v>
      </c>
    </row>
    <row r="9" spans="2:6" x14ac:dyDescent="0.3">
      <c r="B9" s="5" t="s">
        <v>22</v>
      </c>
      <c r="C9" s="6">
        <v>42</v>
      </c>
      <c r="D9" s="6">
        <v>49</v>
      </c>
      <c r="E9" s="6">
        <v>47</v>
      </c>
      <c r="F9" s="6">
        <v>49</v>
      </c>
    </row>
    <row r="10" spans="2:6" x14ac:dyDescent="0.3">
      <c r="B10" s="5" t="s">
        <v>28</v>
      </c>
      <c r="C10" s="6"/>
      <c r="D10" s="6">
        <v>49</v>
      </c>
      <c r="E10" s="6">
        <v>43</v>
      </c>
      <c r="F10" s="6">
        <v>49</v>
      </c>
    </row>
    <row r="11" spans="2:6" x14ac:dyDescent="0.3">
      <c r="B11" s="5" t="s">
        <v>29</v>
      </c>
      <c r="C11" s="6">
        <v>49</v>
      </c>
      <c r="D11" s="6">
        <v>49</v>
      </c>
      <c r="E11" s="6">
        <v>50</v>
      </c>
      <c r="F11" s="6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2DD88-A18B-4239-B4CB-203F36845434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4" t="s">
        <v>27</v>
      </c>
      <c r="C4" t="s">
        <v>38</v>
      </c>
    </row>
    <row r="5" spans="2:3" x14ac:dyDescent="0.3">
      <c r="B5" s="5" t="s">
        <v>17</v>
      </c>
      <c r="C5" s="7">
        <v>98</v>
      </c>
    </row>
    <row r="6" spans="2:3" x14ac:dyDescent="0.3">
      <c r="B6" s="5" t="s">
        <v>25</v>
      </c>
      <c r="C6" s="7">
        <v>97</v>
      </c>
    </row>
    <row r="7" spans="2:3" x14ac:dyDescent="0.3">
      <c r="B7" s="5" t="s">
        <v>14</v>
      </c>
      <c r="C7" s="7">
        <v>98</v>
      </c>
    </row>
    <row r="8" spans="2:3" x14ac:dyDescent="0.3">
      <c r="B8" s="5" t="s">
        <v>3</v>
      </c>
      <c r="C8" s="7">
        <v>91</v>
      </c>
    </row>
    <row r="9" spans="2:3" x14ac:dyDescent="0.3">
      <c r="B9" s="5" t="s">
        <v>23</v>
      </c>
      <c r="C9" s="7">
        <v>100</v>
      </c>
    </row>
    <row r="10" spans="2:3" x14ac:dyDescent="0.3">
      <c r="B10" s="5" t="s">
        <v>20</v>
      </c>
      <c r="C10" s="7">
        <v>87</v>
      </c>
    </row>
    <row r="11" spans="2:3" x14ac:dyDescent="0.3">
      <c r="B11" s="5" t="s">
        <v>29</v>
      </c>
      <c r="C11" s="7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4EB2-4F0D-4DA4-B145-4FB0EE01436B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39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7</v>
      </c>
      <c r="D6" s="6">
        <v>2</v>
      </c>
      <c r="E6" s="6">
        <v>2</v>
      </c>
      <c r="F6" s="6">
        <v>2</v>
      </c>
    </row>
    <row r="7" spans="2:6" x14ac:dyDescent="0.3">
      <c r="B7" s="5" t="s">
        <v>26</v>
      </c>
      <c r="C7" s="6">
        <v>2</v>
      </c>
      <c r="D7" s="6">
        <v>4</v>
      </c>
      <c r="E7" s="6">
        <v>4</v>
      </c>
      <c r="F7" s="6">
        <v>2</v>
      </c>
    </row>
    <row r="8" spans="2:6" x14ac:dyDescent="0.3">
      <c r="B8" s="5" t="s">
        <v>10</v>
      </c>
      <c r="C8" s="6">
        <v>26</v>
      </c>
      <c r="D8" s="6">
        <v>13</v>
      </c>
      <c r="E8" s="6">
        <v>3</v>
      </c>
      <c r="F8" s="6">
        <v>3</v>
      </c>
    </row>
    <row r="9" spans="2:6" x14ac:dyDescent="0.3">
      <c r="B9" s="5" t="s">
        <v>22</v>
      </c>
      <c r="C9" s="6">
        <v>39</v>
      </c>
      <c r="D9" s="6">
        <v>2</v>
      </c>
      <c r="E9" s="6">
        <v>11</v>
      </c>
      <c r="F9" s="6">
        <v>2</v>
      </c>
    </row>
    <row r="10" spans="2:6" x14ac:dyDescent="0.3">
      <c r="B10" s="5" t="s">
        <v>28</v>
      </c>
      <c r="C10" s="6"/>
      <c r="D10" s="6">
        <v>22</v>
      </c>
      <c r="E10" s="6">
        <v>43</v>
      </c>
      <c r="F10" s="6">
        <v>22</v>
      </c>
    </row>
    <row r="11" spans="2:6" x14ac:dyDescent="0.3">
      <c r="B11" s="5" t="s">
        <v>29</v>
      </c>
      <c r="C11" s="6">
        <v>2</v>
      </c>
      <c r="D11" s="6">
        <v>2</v>
      </c>
      <c r="E11" s="6">
        <v>2</v>
      </c>
      <c r="F11" s="6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E562-A1B2-4924-8145-DA00950FF678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" bestFit="1" customWidth="1"/>
  </cols>
  <sheetData>
    <row r="4" spans="2:3" x14ac:dyDescent="0.3">
      <c r="B4" s="4" t="s">
        <v>27</v>
      </c>
      <c r="C4" t="s">
        <v>40</v>
      </c>
    </row>
    <row r="5" spans="2:3" x14ac:dyDescent="0.3">
      <c r="B5" s="5" t="s">
        <v>17</v>
      </c>
      <c r="C5" s="7">
        <v>1</v>
      </c>
    </row>
    <row r="6" spans="2:3" x14ac:dyDescent="0.3">
      <c r="B6" s="5" t="s">
        <v>25</v>
      </c>
      <c r="C6" s="7">
        <v>5</v>
      </c>
    </row>
    <row r="7" spans="2:3" x14ac:dyDescent="0.3">
      <c r="B7" s="5" t="s">
        <v>14</v>
      </c>
      <c r="C7" s="7">
        <v>0</v>
      </c>
    </row>
    <row r="8" spans="2:3" x14ac:dyDescent="0.3">
      <c r="B8" s="5" t="s">
        <v>3</v>
      </c>
      <c r="C8" s="7">
        <v>2</v>
      </c>
    </row>
    <row r="9" spans="2:3" x14ac:dyDescent="0.3">
      <c r="B9" s="5" t="s">
        <v>23</v>
      </c>
      <c r="C9" s="7">
        <v>0</v>
      </c>
    </row>
    <row r="10" spans="2:3" x14ac:dyDescent="0.3">
      <c r="B10" s="5" t="s">
        <v>20</v>
      </c>
      <c r="C10" s="7">
        <v>4</v>
      </c>
    </row>
    <row r="11" spans="2:3" x14ac:dyDescent="0.3">
      <c r="B11" s="5" t="s">
        <v>29</v>
      </c>
      <c r="C11" s="7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80EE1-1F8C-474C-9839-3F7DC435588D}">
  <dimension ref="B4:F11"/>
  <sheetViews>
    <sheetView workbookViewId="0"/>
  </sheetViews>
  <sheetFormatPr defaultRowHeight="14.4" x14ac:dyDescent="0.3"/>
  <cols>
    <col min="2" max="2" width="14.21875" bestFit="1" customWidth="1"/>
    <col min="3" max="3" width="15.5546875" bestFit="1" customWidth="1"/>
    <col min="4" max="6" width="12" bestFit="1" customWidth="1"/>
  </cols>
  <sheetData>
    <row r="4" spans="2:6" x14ac:dyDescent="0.3">
      <c r="B4" s="4" t="s">
        <v>41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201096</v>
      </c>
      <c r="D6" s="6">
        <v>7922304</v>
      </c>
      <c r="E6" s="6">
        <v>845056800</v>
      </c>
      <c r="F6" s="6">
        <v>1.3462968707395265E+21</v>
      </c>
    </row>
    <row r="7" spans="2:6" x14ac:dyDescent="0.3">
      <c r="B7" s="5" t="s">
        <v>26</v>
      </c>
      <c r="C7" s="6">
        <v>3010475520</v>
      </c>
      <c r="D7" s="6">
        <v>166615680</v>
      </c>
      <c r="E7" s="6">
        <v>669772800</v>
      </c>
      <c r="F7" s="6">
        <v>3.359529635459011E+26</v>
      </c>
    </row>
    <row r="8" spans="2:6" x14ac:dyDescent="0.3">
      <c r="B8" s="5" t="s">
        <v>10</v>
      </c>
      <c r="C8" s="6">
        <v>2262624</v>
      </c>
      <c r="D8" s="6">
        <v>725577652800</v>
      </c>
      <c r="E8" s="6">
        <v>464555520</v>
      </c>
      <c r="F8" s="6">
        <v>7.6266516915731973E+26</v>
      </c>
    </row>
    <row r="9" spans="2:6" x14ac:dyDescent="0.3">
      <c r="B9" s="5" t="s">
        <v>22</v>
      </c>
      <c r="C9" s="6">
        <v>1638</v>
      </c>
      <c r="D9" s="6">
        <v>1162254912</v>
      </c>
      <c r="E9" s="6">
        <v>4012499040</v>
      </c>
      <c r="F9" s="6">
        <v>7.6388895251245962E+21</v>
      </c>
    </row>
    <row r="10" spans="2:6" x14ac:dyDescent="0.3">
      <c r="B10" s="5" t="s">
        <v>28</v>
      </c>
      <c r="C10" s="6"/>
      <c r="D10" s="6">
        <v>1078</v>
      </c>
      <c r="E10" s="6">
        <v>43</v>
      </c>
      <c r="F10" s="6">
        <v>46354</v>
      </c>
    </row>
    <row r="11" spans="2:6" x14ac:dyDescent="0.3">
      <c r="B11" s="5" t="s">
        <v>29</v>
      </c>
      <c r="C11" s="6">
        <v>2.2437001606800768E+24</v>
      </c>
      <c r="D11" s="6">
        <v>1.1999728578028181E+39</v>
      </c>
      <c r="E11" s="6">
        <v>4.536641165575668E+37</v>
      </c>
      <c r="F11" s="6">
        <v>1.2214358737886585E+101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DF81-6C14-417E-87D6-DE6CEB44605C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37.21875" bestFit="1" customWidth="1"/>
  </cols>
  <sheetData>
    <row r="4" spans="2:3" x14ac:dyDescent="0.3">
      <c r="B4" s="4" t="s">
        <v>27</v>
      </c>
      <c r="C4" t="s">
        <v>42</v>
      </c>
    </row>
    <row r="5" spans="2:3" x14ac:dyDescent="0.3">
      <c r="B5" s="5" t="s">
        <v>17</v>
      </c>
      <c r="C5" s="7">
        <v>3680751243165696</v>
      </c>
    </row>
    <row r="6" spans="2:3" x14ac:dyDescent="0.3">
      <c r="B6" s="5" t="s">
        <v>25</v>
      </c>
      <c r="C6" s="7">
        <v>1.3806166521855854E+25</v>
      </c>
    </row>
    <row r="7" spans="2:3" x14ac:dyDescent="0.3">
      <c r="B7" s="5" t="s">
        <v>14</v>
      </c>
      <c r="C7" s="7">
        <v>0</v>
      </c>
    </row>
    <row r="8" spans="2:3" x14ac:dyDescent="0.3">
      <c r="B8" s="5" t="s">
        <v>3</v>
      </c>
      <c r="C8" s="7">
        <v>2.3672754097469549E+31</v>
      </c>
    </row>
    <row r="9" spans="2:3" x14ac:dyDescent="0.3">
      <c r="B9" s="5" t="s">
        <v>23</v>
      </c>
      <c r="C9" s="7">
        <v>0</v>
      </c>
    </row>
    <row r="10" spans="2:3" x14ac:dyDescent="0.3">
      <c r="B10" s="5" t="s">
        <v>20</v>
      </c>
      <c r="C10" s="7">
        <v>1.1359422585500774E+21</v>
      </c>
    </row>
    <row r="11" spans="2:3" x14ac:dyDescent="0.3">
      <c r="B11" s="5" t="s">
        <v>29</v>
      </c>
      <c r="C11" s="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FD164-80AE-495F-9D39-E3F1DFF8A28F}">
  <dimension ref="B4:F11"/>
  <sheetViews>
    <sheetView workbookViewId="0"/>
  </sheetViews>
  <sheetFormatPr defaultRowHeight="14.4" x14ac:dyDescent="0.3"/>
  <cols>
    <col min="2" max="2" width="20.66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4" t="s">
        <v>43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4</v>
      </c>
      <c r="D6" s="6">
        <v>6</v>
      </c>
      <c r="E6" s="6">
        <v>7</v>
      </c>
      <c r="F6" s="6">
        <v>17</v>
      </c>
    </row>
    <row r="7" spans="2:6" x14ac:dyDescent="0.3">
      <c r="B7" s="5" t="s">
        <v>26</v>
      </c>
      <c r="C7" s="6">
        <v>8</v>
      </c>
      <c r="D7" s="6">
        <v>7</v>
      </c>
      <c r="E7" s="6">
        <v>8</v>
      </c>
      <c r="F7" s="6">
        <v>23</v>
      </c>
    </row>
    <row r="8" spans="2:6" x14ac:dyDescent="0.3">
      <c r="B8" s="5" t="s">
        <v>10</v>
      </c>
      <c r="C8" s="6">
        <v>4</v>
      </c>
      <c r="D8" s="6">
        <v>8</v>
      </c>
      <c r="E8" s="6">
        <v>7</v>
      </c>
      <c r="F8" s="6">
        <v>19</v>
      </c>
    </row>
    <row r="9" spans="2:6" x14ac:dyDescent="0.3">
      <c r="B9" s="5" t="s">
        <v>22</v>
      </c>
      <c r="C9" s="6">
        <v>2</v>
      </c>
      <c r="D9" s="6">
        <v>8</v>
      </c>
      <c r="E9" s="6">
        <v>7</v>
      </c>
      <c r="F9" s="6">
        <v>17</v>
      </c>
    </row>
    <row r="10" spans="2:6" x14ac:dyDescent="0.3">
      <c r="B10" s="5" t="s">
        <v>28</v>
      </c>
      <c r="C10" s="6"/>
      <c r="D10" s="6">
        <v>2</v>
      </c>
      <c r="E10" s="6">
        <v>1</v>
      </c>
      <c r="F10" s="6">
        <v>3</v>
      </c>
    </row>
    <row r="11" spans="2:6" x14ac:dyDescent="0.3">
      <c r="B11" s="5" t="s">
        <v>29</v>
      </c>
      <c r="C11" s="6">
        <v>18</v>
      </c>
      <c r="D11" s="6">
        <v>31</v>
      </c>
      <c r="E11" s="6">
        <v>30</v>
      </c>
      <c r="F11" s="6">
        <v>79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B4DE-8A89-459F-B998-1881C7ECB2BD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21.109375" bestFit="1" customWidth="1"/>
  </cols>
  <sheetData>
    <row r="4" spans="2:3" x14ac:dyDescent="0.3">
      <c r="B4" s="4" t="s">
        <v>27</v>
      </c>
      <c r="C4" t="s">
        <v>44</v>
      </c>
    </row>
    <row r="5" spans="2:3" x14ac:dyDescent="0.3">
      <c r="B5" s="5" t="s">
        <v>17</v>
      </c>
      <c r="C5" s="7">
        <v>11</v>
      </c>
    </row>
    <row r="6" spans="2:3" x14ac:dyDescent="0.3">
      <c r="B6" s="5" t="s">
        <v>25</v>
      </c>
      <c r="C6" s="7">
        <v>15</v>
      </c>
    </row>
    <row r="7" spans="2:3" x14ac:dyDescent="0.3">
      <c r="B7" s="5" t="s">
        <v>14</v>
      </c>
      <c r="C7" s="7">
        <v>9</v>
      </c>
    </row>
    <row r="8" spans="2:3" x14ac:dyDescent="0.3">
      <c r="B8" s="5" t="s">
        <v>3</v>
      </c>
      <c r="C8" s="7">
        <v>20</v>
      </c>
    </row>
    <row r="9" spans="2:3" x14ac:dyDescent="0.3">
      <c r="B9" s="5" t="s">
        <v>23</v>
      </c>
      <c r="C9" s="7">
        <v>12</v>
      </c>
    </row>
    <row r="10" spans="2:3" x14ac:dyDescent="0.3">
      <c r="B10" s="5" t="s">
        <v>20</v>
      </c>
      <c r="C10" s="7">
        <v>13</v>
      </c>
    </row>
    <row r="11" spans="2:3" x14ac:dyDescent="0.3">
      <c r="B11" s="5" t="s">
        <v>29</v>
      </c>
      <c r="C11" s="7">
        <v>80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3240B-8146-4DE3-B651-EF1B9B8B4074}">
  <dimension ref="B4:F11"/>
  <sheetViews>
    <sheetView workbookViewId="0"/>
  </sheetViews>
  <sheetFormatPr defaultRowHeight="14.4" x14ac:dyDescent="0.3"/>
  <cols>
    <col min="2" max="2" width="13.6640625" bestFit="1" customWidth="1"/>
    <col min="3" max="3" width="15.5546875" bestFit="1" customWidth="1"/>
    <col min="4" max="6" width="12" bestFit="1" customWidth="1"/>
  </cols>
  <sheetData>
    <row r="4" spans="2:6" x14ac:dyDescent="0.3">
      <c r="B4" s="4" t="s">
        <v>45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15.979153085609179</v>
      </c>
      <c r="D6" s="6">
        <v>19.640943629741081</v>
      </c>
      <c r="E6" s="6">
        <v>18.891923192326448</v>
      </c>
      <c r="F6" s="6">
        <v>17.525191951621427</v>
      </c>
    </row>
    <row r="7" spans="2:6" x14ac:dyDescent="0.3">
      <c r="B7" s="5" t="s">
        <v>26</v>
      </c>
      <c r="C7" s="6">
        <v>17.968225924034428</v>
      </c>
      <c r="D7" s="6">
        <v>18.581865199320394</v>
      </c>
      <c r="E7" s="6">
        <v>13.166515972615644</v>
      </c>
      <c r="F7" s="6">
        <v>16.146684335174289</v>
      </c>
    </row>
    <row r="8" spans="2:6" x14ac:dyDescent="0.3">
      <c r="B8" s="5" t="s">
        <v>10</v>
      </c>
      <c r="C8" s="6">
        <v>10.801234497346433</v>
      </c>
      <c r="D8" s="6">
        <v>13.424391446701996</v>
      </c>
      <c r="E8" s="6">
        <v>15.89998502544967</v>
      </c>
      <c r="F8" s="6">
        <v>14.766605282831508</v>
      </c>
    </row>
    <row r="9" spans="2:6" x14ac:dyDescent="0.3">
      <c r="B9" s="5" t="s">
        <v>22</v>
      </c>
      <c r="C9" s="6">
        <v>2.1213203435596424</v>
      </c>
      <c r="D9" s="6">
        <v>18.84096979608913</v>
      </c>
      <c r="E9" s="6">
        <v>14.317821063276353</v>
      </c>
      <c r="F9" s="6">
        <v>16.360147058162585</v>
      </c>
    </row>
    <row r="10" spans="2:6" x14ac:dyDescent="0.3">
      <c r="B10" s="5" t="s">
        <v>28</v>
      </c>
      <c r="C10" s="6"/>
      <c r="D10" s="6">
        <v>19.091883092036785</v>
      </c>
      <c r="E10" s="6" t="e">
        <v>#DIV/0!</v>
      </c>
      <c r="F10" s="6">
        <v>14.177446878757825</v>
      </c>
    </row>
    <row r="11" spans="2:6" x14ac:dyDescent="0.3">
      <c r="B11" s="5" t="s">
        <v>29</v>
      </c>
      <c r="C11" s="6">
        <v>16.088501150854473</v>
      </c>
      <c r="D11" s="6">
        <v>17.371834824257636</v>
      </c>
      <c r="E11" s="6">
        <v>15.589415802315083</v>
      </c>
      <c r="F11" s="6">
        <v>16.349547159101757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C9D7D-B0E6-4FED-8DBD-86B725C727A7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</cols>
  <sheetData>
    <row r="4" spans="2:3" x14ac:dyDescent="0.3">
      <c r="B4" s="4" t="s">
        <v>27</v>
      </c>
      <c r="C4" t="s">
        <v>46</v>
      </c>
    </row>
    <row r="5" spans="2:3" x14ac:dyDescent="0.3">
      <c r="B5" s="5" t="s">
        <v>17</v>
      </c>
      <c r="C5" s="7">
        <v>32.969958777926642</v>
      </c>
    </row>
    <row r="6" spans="2:3" x14ac:dyDescent="0.3">
      <c r="B6" s="5" t="s">
        <v>25</v>
      </c>
      <c r="C6" s="7">
        <v>24.898269207392904</v>
      </c>
    </row>
    <row r="7" spans="2:3" x14ac:dyDescent="0.3">
      <c r="B7" s="5" t="s">
        <v>14</v>
      </c>
      <c r="C7" s="7">
        <v>33.056769352131191</v>
      </c>
    </row>
    <row r="8" spans="2:3" x14ac:dyDescent="0.3">
      <c r="B8" s="5" t="s">
        <v>3</v>
      </c>
      <c r="C8" s="7">
        <v>30.796915429958243</v>
      </c>
    </row>
    <row r="9" spans="2:3" x14ac:dyDescent="0.3">
      <c r="B9" s="5" t="s">
        <v>23</v>
      </c>
      <c r="C9" s="7">
        <v>37.511210445557595</v>
      </c>
    </row>
    <row r="10" spans="2:3" x14ac:dyDescent="0.3">
      <c r="B10" s="5" t="s">
        <v>20</v>
      </c>
      <c r="C10" s="7">
        <v>25.973852730024966</v>
      </c>
    </row>
    <row r="11" spans="2:3" x14ac:dyDescent="0.3">
      <c r="B11" s="5" t="s">
        <v>29</v>
      </c>
      <c r="C11" s="7">
        <v>30.178307134744774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142FA-EF1B-40B8-8B64-920B483B8E27}">
  <dimension ref="B4:F11"/>
  <sheetViews>
    <sheetView workbookViewId="0"/>
  </sheetViews>
  <sheetFormatPr defaultRowHeight="14.4" x14ac:dyDescent="0.3"/>
  <cols>
    <col min="2" max="2" width="14.77734375" bestFit="1" customWidth="1"/>
    <col min="3" max="3" width="15.5546875" bestFit="1" customWidth="1"/>
    <col min="4" max="6" width="12" bestFit="1" customWidth="1"/>
  </cols>
  <sheetData>
    <row r="4" spans="2:6" x14ac:dyDescent="0.3">
      <c r="B4" s="4" t="s">
        <v>47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13.838352503098047</v>
      </c>
      <c r="D6" s="6">
        <v>17.929646461160974</v>
      </c>
      <c r="E6" s="6">
        <v>17.490522214815051</v>
      </c>
      <c r="F6" s="6">
        <v>17.001933535472858</v>
      </c>
    </row>
    <row r="7" spans="2:6" x14ac:dyDescent="0.3">
      <c r="B7" s="5" t="s">
        <v>26</v>
      </c>
      <c r="C7" s="6">
        <v>16.80773631397161</v>
      </c>
      <c r="D7" s="6">
        <v>17.203464292794909</v>
      </c>
      <c r="E7" s="6">
        <v>12.316147936753602</v>
      </c>
      <c r="F7" s="6">
        <v>15.791768811403511</v>
      </c>
    </row>
    <row r="8" spans="2:6" x14ac:dyDescent="0.3">
      <c r="B8" s="5" t="s">
        <v>10</v>
      </c>
      <c r="C8" s="6">
        <v>9.354143466934854</v>
      </c>
      <c r="D8" s="6">
        <v>12.55736835487436</v>
      </c>
      <c r="E8" s="6">
        <v>14.72052572264389</v>
      </c>
      <c r="F8" s="6">
        <v>14.372758165547717</v>
      </c>
    </row>
    <row r="9" spans="2:6" x14ac:dyDescent="0.3">
      <c r="B9" s="5" t="s">
        <v>22</v>
      </c>
      <c r="C9" s="6">
        <v>1.5</v>
      </c>
      <c r="D9" s="6">
        <v>17.624113452880405</v>
      </c>
      <c r="E9" s="6">
        <v>13.255726525328052</v>
      </c>
      <c r="F9" s="6">
        <v>15.871673969751146</v>
      </c>
    </row>
    <row r="10" spans="2:6" x14ac:dyDescent="0.3">
      <c r="B10" s="5" t="s">
        <v>28</v>
      </c>
      <c r="C10" s="6"/>
      <c r="D10" s="6">
        <v>13.5</v>
      </c>
      <c r="E10" s="6">
        <v>0</v>
      </c>
      <c r="F10" s="6">
        <v>11.575836902790225</v>
      </c>
    </row>
    <row r="11" spans="2:6" x14ac:dyDescent="0.3">
      <c r="B11" s="5" t="s">
        <v>29</v>
      </c>
      <c r="C11" s="6">
        <v>15.635212711799282</v>
      </c>
      <c r="D11" s="6">
        <v>17.089347139079315</v>
      </c>
      <c r="E11" s="6">
        <v>15.327390152563119</v>
      </c>
      <c r="F11" s="6">
        <v>16.245739460945181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81B55-C84D-4048-8341-36DB66C12758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5.21875" bestFit="1" customWidth="1"/>
  </cols>
  <sheetData>
    <row r="4" spans="2:3" x14ac:dyDescent="0.3">
      <c r="B4" s="4" t="s">
        <v>27</v>
      </c>
      <c r="C4" t="s">
        <v>48</v>
      </c>
    </row>
    <row r="5" spans="2:3" x14ac:dyDescent="0.3">
      <c r="B5" s="5" t="s">
        <v>17</v>
      </c>
      <c r="C5" s="7">
        <v>31.435622263722379</v>
      </c>
    </row>
    <row r="6" spans="2:3" x14ac:dyDescent="0.3">
      <c r="B6" s="5" t="s">
        <v>25</v>
      </c>
      <c r="C6" s="7">
        <v>24.054013294158533</v>
      </c>
    </row>
    <row r="7" spans="2:3" x14ac:dyDescent="0.3">
      <c r="B7" s="5" t="s">
        <v>14</v>
      </c>
      <c r="C7" s="7">
        <v>31.166221030682134</v>
      </c>
    </row>
    <row r="8" spans="2:3" x14ac:dyDescent="0.3">
      <c r="B8" s="5" t="s">
        <v>3</v>
      </c>
      <c r="C8" s="7">
        <v>30.017120115027691</v>
      </c>
    </row>
    <row r="9" spans="2:3" x14ac:dyDescent="0.3">
      <c r="B9" s="5" t="s">
        <v>23</v>
      </c>
      <c r="C9" s="7">
        <v>35.914249725329547</v>
      </c>
    </row>
    <row r="10" spans="2:3" x14ac:dyDescent="0.3">
      <c r="B10" s="5" t="s">
        <v>20</v>
      </c>
      <c r="C10" s="7">
        <v>24.954870509184726</v>
      </c>
    </row>
    <row r="11" spans="2:3" x14ac:dyDescent="0.3">
      <c r="B11" s="5" t="s">
        <v>29</v>
      </c>
      <c r="C11" s="7">
        <v>29.989099582181524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3586-FCF3-4770-92CD-F688A46C6862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6" width="12" bestFit="1" customWidth="1"/>
  </cols>
  <sheetData>
    <row r="4" spans="2:6" x14ac:dyDescent="0.3">
      <c r="B4" s="4" t="s">
        <v>49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255.33333333333334</v>
      </c>
      <c r="D6" s="6">
        <v>385.76666666666671</v>
      </c>
      <c r="E6" s="6">
        <v>356.90476190476193</v>
      </c>
      <c r="F6" s="6">
        <v>307.13235294117646</v>
      </c>
    </row>
    <row r="7" spans="2:6" x14ac:dyDescent="0.3">
      <c r="B7" s="5" t="s">
        <v>26</v>
      </c>
      <c r="C7" s="6">
        <v>322.85714285714283</v>
      </c>
      <c r="D7" s="6">
        <v>345.28571428571428</v>
      </c>
      <c r="E7" s="6">
        <v>173.35714285714286</v>
      </c>
      <c r="F7" s="6">
        <v>260.71541501976282</v>
      </c>
    </row>
    <row r="8" spans="2:6" x14ac:dyDescent="0.3">
      <c r="B8" s="5" t="s">
        <v>10</v>
      </c>
      <c r="C8" s="6">
        <v>116.66666666666667</v>
      </c>
      <c r="D8" s="6">
        <v>180.21428571428572</v>
      </c>
      <c r="E8" s="6">
        <v>252.80952380952377</v>
      </c>
      <c r="F8" s="6">
        <v>218.0526315789474</v>
      </c>
    </row>
    <row r="9" spans="2:6" x14ac:dyDescent="0.3">
      <c r="B9" s="5" t="s">
        <v>22</v>
      </c>
      <c r="C9" s="6">
        <v>4.5</v>
      </c>
      <c r="D9" s="6">
        <v>354.98214285714283</v>
      </c>
      <c r="E9" s="6">
        <v>205</v>
      </c>
      <c r="F9" s="6">
        <v>267.65441176470586</v>
      </c>
    </row>
    <row r="10" spans="2:6" x14ac:dyDescent="0.3">
      <c r="B10" s="5" t="s">
        <v>28</v>
      </c>
      <c r="C10" s="6"/>
      <c r="D10" s="6">
        <v>364.5</v>
      </c>
      <c r="E10" s="6" t="e">
        <v>#DIV/0!</v>
      </c>
      <c r="F10" s="6">
        <v>201</v>
      </c>
    </row>
    <row r="11" spans="2:6" x14ac:dyDescent="0.3">
      <c r="B11" s="5" t="s">
        <v>29</v>
      </c>
      <c r="C11" s="6">
        <v>258.83986928104571</v>
      </c>
      <c r="D11" s="6">
        <v>301.78064516129029</v>
      </c>
      <c r="E11" s="6">
        <v>243.0298850574712</v>
      </c>
      <c r="F11" s="6">
        <v>267.30769230769232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4539-54F5-4FB0-9033-D8F9325FEE99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0.77734375" bestFit="1" customWidth="1"/>
  </cols>
  <sheetData>
    <row r="4" spans="2:3" x14ac:dyDescent="0.3">
      <c r="B4" s="4" t="s">
        <v>27</v>
      </c>
      <c r="C4" t="s">
        <v>50</v>
      </c>
    </row>
    <row r="5" spans="2:3" x14ac:dyDescent="0.3">
      <c r="B5" s="5" t="s">
        <v>17</v>
      </c>
      <c r="C5" s="7">
        <v>1087.018181818182</v>
      </c>
    </row>
    <row r="6" spans="2:3" x14ac:dyDescent="0.3">
      <c r="B6" s="5" t="s">
        <v>25</v>
      </c>
      <c r="C6" s="7">
        <v>619.92380952380961</v>
      </c>
    </row>
    <row r="7" spans="2:3" x14ac:dyDescent="0.3">
      <c r="B7" s="5" t="s">
        <v>14</v>
      </c>
      <c r="C7" s="7">
        <v>1092.75</v>
      </c>
    </row>
    <row r="8" spans="2:3" x14ac:dyDescent="0.3">
      <c r="B8" s="5" t="s">
        <v>3</v>
      </c>
      <c r="C8" s="7">
        <v>948.45000000000016</v>
      </c>
    </row>
    <row r="9" spans="2:3" x14ac:dyDescent="0.3">
      <c r="B9" s="5" t="s">
        <v>23</v>
      </c>
      <c r="C9" s="7">
        <v>1407.090909090909</v>
      </c>
    </row>
    <row r="10" spans="2:3" x14ac:dyDescent="0.3">
      <c r="B10" s="5" t="s">
        <v>20</v>
      </c>
      <c r="C10" s="7">
        <v>674.64102564102541</v>
      </c>
    </row>
    <row r="11" spans="2:3" x14ac:dyDescent="0.3">
      <c r="B11" s="5" t="s">
        <v>29</v>
      </c>
      <c r="C11" s="7">
        <v>910.73022151898738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4802-1A1B-419E-B7B9-3CC271242CBD}">
  <dimension ref="B4:F11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6" width="12" bestFit="1" customWidth="1"/>
  </cols>
  <sheetData>
    <row r="4" spans="2:6" x14ac:dyDescent="0.3">
      <c r="B4" s="4" t="s">
        <v>51</v>
      </c>
      <c r="C4" s="4" t="s">
        <v>30</v>
      </c>
    </row>
    <row r="5" spans="2:6" x14ac:dyDescent="0.3">
      <c r="B5" s="4" t="s">
        <v>27</v>
      </c>
      <c r="C5" t="s">
        <v>21</v>
      </c>
      <c r="D5" t="s">
        <v>15</v>
      </c>
      <c r="E5" t="s">
        <v>11</v>
      </c>
      <c r="F5" t="s">
        <v>29</v>
      </c>
    </row>
    <row r="6" spans="2:6" x14ac:dyDescent="0.3">
      <c r="B6" s="5" t="s">
        <v>19</v>
      </c>
      <c r="C6" s="6">
        <v>191.5</v>
      </c>
      <c r="D6" s="6">
        <v>321.47222222222223</v>
      </c>
      <c r="E6" s="6">
        <v>305.91836734693879</v>
      </c>
      <c r="F6" s="6">
        <v>289.06574394463667</v>
      </c>
    </row>
    <row r="7" spans="2:6" x14ac:dyDescent="0.3">
      <c r="B7" s="5" t="s">
        <v>26</v>
      </c>
      <c r="C7" s="6">
        <v>282.5</v>
      </c>
      <c r="D7" s="6">
        <v>295.9591836734694</v>
      </c>
      <c r="E7" s="6">
        <v>151.6875</v>
      </c>
      <c r="F7" s="6">
        <v>249.37996219281663</v>
      </c>
    </row>
    <row r="8" spans="2:6" x14ac:dyDescent="0.3">
      <c r="B8" s="5" t="s">
        <v>10</v>
      </c>
      <c r="C8" s="6">
        <v>87.5</v>
      </c>
      <c r="D8" s="6">
        <v>157.6875</v>
      </c>
      <c r="E8" s="6">
        <v>216.69387755102042</v>
      </c>
      <c r="F8" s="6">
        <v>206.57617728531855</v>
      </c>
    </row>
    <row r="9" spans="2:6" x14ac:dyDescent="0.3">
      <c r="B9" s="5" t="s">
        <v>22</v>
      </c>
      <c r="C9" s="6">
        <v>2.25</v>
      </c>
      <c r="D9" s="6">
        <v>310.609375</v>
      </c>
      <c r="E9" s="6">
        <v>175.71428571428572</v>
      </c>
      <c r="F9" s="6">
        <v>251.91003460207614</v>
      </c>
    </row>
    <row r="10" spans="2:6" x14ac:dyDescent="0.3">
      <c r="B10" s="5" t="s">
        <v>28</v>
      </c>
      <c r="C10" s="6"/>
      <c r="D10" s="6">
        <v>182.25</v>
      </c>
      <c r="E10" s="6">
        <v>0</v>
      </c>
      <c r="F10" s="6">
        <v>134</v>
      </c>
    </row>
    <row r="11" spans="2:6" x14ac:dyDescent="0.3">
      <c r="B11" s="5" t="s">
        <v>29</v>
      </c>
      <c r="C11" s="6">
        <v>244.45987654320987</v>
      </c>
      <c r="D11" s="6">
        <v>292.04578563995835</v>
      </c>
      <c r="E11" s="6">
        <v>234.92888888888888</v>
      </c>
      <c r="F11" s="6">
        <v>263.92405063291142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82F7-1F0F-453D-9955-3BA5617E6497}">
  <dimension ref="B4:C11"/>
  <sheetViews>
    <sheetView workbookViewId="0"/>
  </sheetViews>
  <sheetFormatPr defaultRowHeight="14.4" x14ac:dyDescent="0.3"/>
  <cols>
    <col min="2" max="2" width="12.44140625" bestFit="1" customWidth="1"/>
    <col min="3" max="3" width="11.88671875" bestFit="1" customWidth="1"/>
  </cols>
  <sheetData>
    <row r="4" spans="2:3" x14ac:dyDescent="0.3">
      <c r="B4" s="4" t="s">
        <v>27</v>
      </c>
      <c r="C4" t="s">
        <v>52</v>
      </c>
    </row>
    <row r="5" spans="2:3" x14ac:dyDescent="0.3">
      <c r="B5" s="5" t="s">
        <v>17</v>
      </c>
      <c r="C5" s="7">
        <v>988.19834710743805</v>
      </c>
    </row>
    <row r="6" spans="2:3" x14ac:dyDescent="0.3">
      <c r="B6" s="5" t="s">
        <v>25</v>
      </c>
      <c r="C6" s="7">
        <v>578.59555555555551</v>
      </c>
    </row>
    <row r="7" spans="2:3" x14ac:dyDescent="0.3">
      <c r="B7" s="5" t="s">
        <v>14</v>
      </c>
      <c r="C7" s="7">
        <v>971.33333333333337</v>
      </c>
    </row>
    <row r="8" spans="2:3" x14ac:dyDescent="0.3">
      <c r="B8" s="5" t="s">
        <v>3</v>
      </c>
      <c r="C8" s="7">
        <v>901.02750000000003</v>
      </c>
    </row>
    <row r="9" spans="2:3" x14ac:dyDescent="0.3">
      <c r="B9" s="5" t="s">
        <v>23</v>
      </c>
      <c r="C9" s="7">
        <v>1289.8333333333333</v>
      </c>
    </row>
    <row r="10" spans="2:3" x14ac:dyDescent="0.3">
      <c r="B10" s="5" t="s">
        <v>20</v>
      </c>
      <c r="C10" s="7">
        <v>622.74556213017752</v>
      </c>
    </row>
    <row r="11" spans="2:3" x14ac:dyDescent="0.3">
      <c r="B11" s="5" t="s">
        <v>29</v>
      </c>
      <c r="C11" s="7">
        <v>899.34609375000002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CEA8-7EBF-4190-80C8-AB23380116D5}">
  <dimension ref="B4:D10"/>
  <sheetViews>
    <sheetView workbookViewId="0"/>
  </sheetViews>
  <sheetFormatPr defaultRowHeight="14.4" x14ac:dyDescent="0.3"/>
  <cols>
    <col min="2" max="2" width="12.44140625" bestFit="1" customWidth="1"/>
    <col min="3" max="3" width="15" bestFit="1" customWidth="1"/>
    <col min="4" max="4" width="18.109375" bestFit="1" customWidth="1"/>
  </cols>
  <sheetData>
    <row r="4" spans="2:4" x14ac:dyDescent="0.3">
      <c r="B4" s="4" t="s">
        <v>27</v>
      </c>
      <c r="C4" t="s">
        <v>53</v>
      </c>
      <c r="D4" t="s">
        <v>54</v>
      </c>
    </row>
    <row r="5" spans="2:4" x14ac:dyDescent="0.3">
      <c r="B5" s="5" t="s">
        <v>19</v>
      </c>
      <c r="C5" s="6">
        <v>17</v>
      </c>
      <c r="D5" s="6">
        <v>0</v>
      </c>
    </row>
    <row r="6" spans="2:4" x14ac:dyDescent="0.3">
      <c r="B6" s="5" t="s">
        <v>26</v>
      </c>
      <c r="C6" s="6">
        <v>23</v>
      </c>
      <c r="D6" s="6">
        <v>0</v>
      </c>
    </row>
    <row r="7" spans="2:4" x14ac:dyDescent="0.3">
      <c r="B7" s="5" t="s">
        <v>10</v>
      </c>
      <c r="C7" s="6">
        <v>19</v>
      </c>
      <c r="D7" s="6">
        <v>0</v>
      </c>
    </row>
    <row r="8" spans="2:4" x14ac:dyDescent="0.3">
      <c r="B8" s="5" t="s">
        <v>22</v>
      </c>
      <c r="C8" s="6">
        <v>18</v>
      </c>
      <c r="D8" s="6">
        <v>0</v>
      </c>
    </row>
    <row r="9" spans="2:4" x14ac:dyDescent="0.3">
      <c r="B9" s="5" t="s">
        <v>28</v>
      </c>
      <c r="C9" s="6">
        <v>3</v>
      </c>
      <c r="D9" s="6">
        <v>0</v>
      </c>
    </row>
    <row r="10" spans="2:4" x14ac:dyDescent="0.3">
      <c r="B10" s="5" t="s">
        <v>29</v>
      </c>
      <c r="C10" s="6">
        <v>80</v>
      </c>
      <c r="D10" s="6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9CED3-9A80-4DBE-B82A-95642890A86D}">
  <dimension ref="B4:E10"/>
  <sheetViews>
    <sheetView workbookViewId="0"/>
  </sheetViews>
  <sheetFormatPr defaultRowHeight="14.4" x14ac:dyDescent="0.3"/>
  <cols>
    <col min="2" max="2" width="12.44140625" bestFit="1" customWidth="1"/>
    <col min="3" max="3" width="14.109375" bestFit="1" customWidth="1"/>
    <col min="4" max="4" width="16.88671875" bestFit="1" customWidth="1"/>
    <col min="5" max="5" width="13.6640625" bestFit="1" customWidth="1"/>
  </cols>
  <sheetData>
    <row r="4" spans="2:5" x14ac:dyDescent="0.3">
      <c r="B4" s="4" t="s">
        <v>27</v>
      </c>
      <c r="C4" t="s">
        <v>55</v>
      </c>
      <c r="D4" t="s">
        <v>56</v>
      </c>
      <c r="E4" t="s">
        <v>57</v>
      </c>
    </row>
    <row r="5" spans="2:5" x14ac:dyDescent="0.3">
      <c r="B5" s="5" t="s">
        <v>19</v>
      </c>
      <c r="C5" s="6">
        <v>21409.510000000002</v>
      </c>
      <c r="D5" s="6">
        <v>1259.3829411764707</v>
      </c>
      <c r="E5" s="6">
        <v>4187.38</v>
      </c>
    </row>
    <row r="6" spans="2:5" x14ac:dyDescent="0.3">
      <c r="B6" s="5" t="s">
        <v>26</v>
      </c>
      <c r="C6" s="6">
        <v>22138.569999999996</v>
      </c>
      <c r="D6" s="6">
        <v>962.5465217391303</v>
      </c>
      <c r="E6" s="6">
        <v>3723.24</v>
      </c>
    </row>
    <row r="7" spans="2:5" x14ac:dyDescent="0.3">
      <c r="B7" s="5" t="s">
        <v>10</v>
      </c>
      <c r="C7" s="6">
        <v>23389.030000000002</v>
      </c>
      <c r="D7" s="6">
        <v>1231.0015789473684</v>
      </c>
      <c r="E7" s="6">
        <v>3523.5</v>
      </c>
    </row>
    <row r="8" spans="2:5" x14ac:dyDescent="0.3">
      <c r="B8" s="5" t="s">
        <v>22</v>
      </c>
      <c r="C8" s="6">
        <v>19022.689999999999</v>
      </c>
      <c r="D8" s="6">
        <v>1118.9817647058824</v>
      </c>
      <c r="E8" s="6">
        <v>3273.39</v>
      </c>
    </row>
    <row r="9" spans="2:5" x14ac:dyDescent="0.3">
      <c r="B9" s="5" t="s">
        <v>28</v>
      </c>
      <c r="C9" s="6">
        <v>4315.1899999999996</v>
      </c>
      <c r="D9" s="6">
        <v>1438.3966666666665</v>
      </c>
      <c r="E9" s="6">
        <v>3223.71</v>
      </c>
    </row>
    <row r="10" spans="2:5" x14ac:dyDescent="0.3">
      <c r="B10" s="5" t="s">
        <v>29</v>
      </c>
      <c r="C10" s="6">
        <v>90274.99000000002</v>
      </c>
      <c r="D10" s="6">
        <v>1142.7213924050636</v>
      </c>
      <c r="E10" s="6">
        <v>4187.38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D828-553B-479D-ACA3-652AB6D271B4}">
  <dimension ref="B4:J13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10.109375" bestFit="1" customWidth="1"/>
    <col min="5" max="5" width="12" bestFit="1" customWidth="1"/>
    <col min="6" max="6" width="10.109375" bestFit="1" customWidth="1"/>
    <col min="7" max="7" width="12" bestFit="1" customWidth="1"/>
    <col min="8" max="8" width="10.109375" bestFit="1" customWidth="1"/>
    <col min="9" max="9" width="16.5546875" bestFit="1" customWidth="1"/>
    <col min="10" max="10" width="14.6640625" bestFit="1" customWidth="1"/>
  </cols>
  <sheetData>
    <row r="4" spans="2:10" x14ac:dyDescent="0.3">
      <c r="C4" s="4" t="s">
        <v>30</v>
      </c>
    </row>
    <row r="5" spans="2:10" x14ac:dyDescent="0.3">
      <c r="C5" t="s">
        <v>21</v>
      </c>
      <c r="E5" t="s">
        <v>15</v>
      </c>
      <c r="G5" t="s">
        <v>11</v>
      </c>
      <c r="I5" t="s">
        <v>59</v>
      </c>
      <c r="J5" t="s">
        <v>60</v>
      </c>
    </row>
    <row r="6" spans="2:10" x14ac:dyDescent="0.3">
      <c r="B6" s="4" t="s">
        <v>27</v>
      </c>
      <c r="C6" t="s">
        <v>58</v>
      </c>
      <c r="D6" t="s">
        <v>61</v>
      </c>
      <c r="E6" t="s">
        <v>58</v>
      </c>
      <c r="F6" t="s">
        <v>61</v>
      </c>
      <c r="G6" t="s">
        <v>58</v>
      </c>
      <c r="H6" t="s">
        <v>61</v>
      </c>
    </row>
    <row r="7" spans="2:10" x14ac:dyDescent="0.3">
      <c r="B7" s="5" t="s">
        <v>17</v>
      </c>
      <c r="C7" s="8">
        <v>3829.41</v>
      </c>
      <c r="D7" s="9">
        <v>72.37</v>
      </c>
      <c r="E7" s="8">
        <v>8031.95</v>
      </c>
      <c r="F7" s="9">
        <v>45.977499999999999</v>
      </c>
      <c r="G7" s="8">
        <v>4737.83</v>
      </c>
      <c r="H7" s="9">
        <v>71.827500000000001</v>
      </c>
      <c r="I7" s="8">
        <v>16599.190000000002</v>
      </c>
      <c r="J7" s="9">
        <v>62.575454545454541</v>
      </c>
    </row>
    <row r="8" spans="2:10" x14ac:dyDescent="0.3">
      <c r="B8" s="5" t="s">
        <v>25</v>
      </c>
      <c r="C8" s="8">
        <v>3563.7799999999997</v>
      </c>
      <c r="D8" s="9">
        <v>31.263333333333335</v>
      </c>
      <c r="E8" s="8">
        <v>8177.13</v>
      </c>
      <c r="F8" s="9">
        <v>44.098749999999995</v>
      </c>
      <c r="G8" s="8">
        <v>1726.45</v>
      </c>
      <c r="H8" s="9">
        <v>63.954999999999998</v>
      </c>
      <c r="I8" s="8">
        <v>13467.36</v>
      </c>
      <c r="J8" s="9">
        <v>46.826666666666675</v>
      </c>
    </row>
    <row r="9" spans="2:10" x14ac:dyDescent="0.3">
      <c r="B9" s="5" t="s">
        <v>14</v>
      </c>
      <c r="C9" s="8">
        <v>808.01</v>
      </c>
      <c r="D9" s="9">
        <v>16.489999999999998</v>
      </c>
      <c r="E9" s="8">
        <v>1041.43</v>
      </c>
      <c r="F9" s="9">
        <v>80.11</v>
      </c>
      <c r="G9" s="8">
        <v>17264.41</v>
      </c>
      <c r="H9" s="9">
        <v>67.981428571428566</v>
      </c>
      <c r="I9" s="8">
        <v>19113.849999999999</v>
      </c>
      <c r="J9" s="9">
        <v>63.607777777777784</v>
      </c>
    </row>
    <row r="10" spans="2:10" x14ac:dyDescent="0.3">
      <c r="B10" s="5" t="s">
        <v>3</v>
      </c>
      <c r="C10" s="8">
        <v>3061.54</v>
      </c>
      <c r="D10" s="9">
        <v>45.662500000000001</v>
      </c>
      <c r="E10" s="8">
        <v>5511.8799999999992</v>
      </c>
      <c r="F10" s="9">
        <v>31.952857142857141</v>
      </c>
      <c r="G10" s="8">
        <v>9980.9700000000012</v>
      </c>
      <c r="H10" s="9">
        <v>44.555555555555557</v>
      </c>
      <c r="I10" s="8">
        <v>18554.39</v>
      </c>
      <c r="J10" s="9">
        <v>40.365999999999993</v>
      </c>
    </row>
    <row r="11" spans="2:10" x14ac:dyDescent="0.3">
      <c r="B11" s="5" t="s">
        <v>23</v>
      </c>
      <c r="C11" s="8">
        <v>2194.9899999999998</v>
      </c>
      <c r="D11" s="9">
        <v>45.816666666666663</v>
      </c>
      <c r="E11" s="8">
        <v>5524.2099999999991</v>
      </c>
      <c r="F11" s="9">
        <v>49.612857142857138</v>
      </c>
      <c r="G11" s="8">
        <v>353.87</v>
      </c>
      <c r="H11" s="9">
        <v>46.445</v>
      </c>
      <c r="I11" s="8">
        <v>8073.07</v>
      </c>
      <c r="J11" s="9">
        <v>48.135833333333331</v>
      </c>
    </row>
    <row r="12" spans="2:10" x14ac:dyDescent="0.3">
      <c r="B12" s="5" t="s">
        <v>20</v>
      </c>
      <c r="C12" s="8">
        <v>5638.03</v>
      </c>
      <c r="D12" s="9">
        <v>35.844999999999999</v>
      </c>
      <c r="E12" s="8">
        <v>3904.16</v>
      </c>
      <c r="F12" s="9">
        <v>52.491999999999997</v>
      </c>
      <c r="G12" s="8">
        <v>4924.9399999999996</v>
      </c>
      <c r="H12" s="9">
        <v>53.965000000000003</v>
      </c>
      <c r="I12" s="8">
        <v>14467.130000000001</v>
      </c>
      <c r="J12" s="9">
        <v>47.823076923076911</v>
      </c>
    </row>
    <row r="13" spans="2:10" x14ac:dyDescent="0.3">
      <c r="B13" s="5" t="s">
        <v>29</v>
      </c>
      <c r="C13" s="8">
        <v>19095.759999999998</v>
      </c>
      <c r="D13" s="9">
        <v>43.937222222222232</v>
      </c>
      <c r="E13" s="8">
        <v>32190.76</v>
      </c>
      <c r="F13" s="9">
        <v>45.319687500000001</v>
      </c>
      <c r="G13" s="8">
        <v>38988.470000000008</v>
      </c>
      <c r="H13" s="9">
        <v>57.625</v>
      </c>
      <c r="I13" s="8">
        <v>90274.99000000002</v>
      </c>
      <c r="J13" s="9">
        <v>49.623125000000002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23FF-A385-4FE5-9D3B-E2BE0E1D48D7}">
  <dimension ref="B4:F24"/>
  <sheetViews>
    <sheetView workbookViewId="0"/>
  </sheetViews>
  <sheetFormatPr defaultRowHeight="14.4" x14ac:dyDescent="0.3"/>
  <cols>
    <col min="2" max="2" width="12.44140625" bestFit="1" customWidth="1"/>
    <col min="3" max="3" width="10" bestFit="1" customWidth="1"/>
    <col min="4" max="4" width="11.33203125" bestFit="1" customWidth="1"/>
    <col min="5" max="5" width="10.5546875" bestFit="1" customWidth="1"/>
    <col min="6" max="6" width="11.33203125" bestFit="1" customWidth="1"/>
  </cols>
  <sheetData>
    <row r="4" spans="2:6" x14ac:dyDescent="0.3">
      <c r="B4" s="4" t="s">
        <v>0</v>
      </c>
      <c r="C4" s="4" t="s">
        <v>2</v>
      </c>
      <c r="D4" t="s">
        <v>31</v>
      </c>
      <c r="E4" t="s">
        <v>62</v>
      </c>
      <c r="F4" t="s">
        <v>38</v>
      </c>
    </row>
    <row r="5" spans="2:6" x14ac:dyDescent="0.3">
      <c r="B5" t="s">
        <v>19</v>
      </c>
      <c r="D5" s="6">
        <v>435</v>
      </c>
      <c r="E5" s="2">
        <v>9.9700000000000006</v>
      </c>
      <c r="F5" s="6">
        <v>91</v>
      </c>
    </row>
    <row r="6" spans="2:6" x14ac:dyDescent="0.3">
      <c r="C6" t="s">
        <v>21</v>
      </c>
      <c r="D6" s="6">
        <v>104</v>
      </c>
      <c r="E6" s="2">
        <v>9.9700000000000006</v>
      </c>
      <c r="F6" s="6">
        <v>54</v>
      </c>
    </row>
    <row r="7" spans="2:6" x14ac:dyDescent="0.3">
      <c r="C7" t="s">
        <v>15</v>
      </c>
      <c r="D7" s="6">
        <v>137</v>
      </c>
      <c r="E7" s="2">
        <v>15.4</v>
      </c>
      <c r="F7" s="6">
        <v>91</v>
      </c>
    </row>
    <row r="8" spans="2:6" x14ac:dyDescent="0.3">
      <c r="C8" t="s">
        <v>11</v>
      </c>
      <c r="D8" s="6">
        <v>194</v>
      </c>
      <c r="E8" s="2">
        <v>24.24</v>
      </c>
      <c r="F8" s="6">
        <v>91</v>
      </c>
    </row>
    <row r="9" spans="2:6" x14ac:dyDescent="0.3">
      <c r="B9" t="s">
        <v>26</v>
      </c>
      <c r="D9" s="6">
        <v>472</v>
      </c>
      <c r="E9" s="2">
        <v>1.37</v>
      </c>
      <c r="F9" s="6">
        <v>94</v>
      </c>
    </row>
    <row r="10" spans="2:6" x14ac:dyDescent="0.3">
      <c r="C10" t="s">
        <v>21</v>
      </c>
      <c r="D10" s="6">
        <v>188</v>
      </c>
      <c r="E10" s="2">
        <v>1.37</v>
      </c>
      <c r="F10" s="6">
        <v>94</v>
      </c>
    </row>
    <row r="11" spans="2:6" x14ac:dyDescent="0.3">
      <c r="C11" t="s">
        <v>15</v>
      </c>
      <c r="D11" s="6">
        <v>150</v>
      </c>
      <c r="E11" s="2">
        <v>12.95</v>
      </c>
      <c r="F11" s="6">
        <v>78</v>
      </c>
    </row>
    <row r="12" spans="2:6" x14ac:dyDescent="0.3">
      <c r="C12" t="s">
        <v>11</v>
      </c>
      <c r="D12" s="6">
        <v>134</v>
      </c>
      <c r="E12" s="2">
        <v>38.64</v>
      </c>
      <c r="F12" s="6">
        <v>90</v>
      </c>
    </row>
    <row r="13" spans="2:6" x14ac:dyDescent="0.3">
      <c r="B13" t="s">
        <v>10</v>
      </c>
      <c r="D13" s="6">
        <v>588</v>
      </c>
      <c r="E13" s="2">
        <v>3.76</v>
      </c>
      <c r="F13" s="6">
        <v>98</v>
      </c>
    </row>
    <row r="14" spans="2:6" x14ac:dyDescent="0.3">
      <c r="C14" t="s">
        <v>21</v>
      </c>
      <c r="D14" s="6">
        <v>160</v>
      </c>
      <c r="E14" s="2">
        <v>15.94</v>
      </c>
      <c r="F14" s="6">
        <v>98</v>
      </c>
    </row>
    <row r="15" spans="2:6" x14ac:dyDescent="0.3">
      <c r="C15" t="s">
        <v>15</v>
      </c>
      <c r="D15" s="6">
        <v>266</v>
      </c>
      <c r="E15" s="2">
        <v>14.61</v>
      </c>
      <c r="F15" s="6">
        <v>83</v>
      </c>
    </row>
    <row r="16" spans="2:6" x14ac:dyDescent="0.3">
      <c r="C16" t="s">
        <v>11</v>
      </c>
      <c r="D16" s="6">
        <v>162</v>
      </c>
      <c r="E16" s="2">
        <v>3.76</v>
      </c>
      <c r="F16" s="6">
        <v>91</v>
      </c>
    </row>
    <row r="17" spans="2:6" x14ac:dyDescent="0.3">
      <c r="B17" t="s">
        <v>22</v>
      </c>
      <c r="D17" s="6">
        <v>445</v>
      </c>
      <c r="E17" s="2">
        <v>3.8</v>
      </c>
      <c r="F17" s="6">
        <v>100</v>
      </c>
    </row>
    <row r="18" spans="2:6" x14ac:dyDescent="0.3">
      <c r="C18" t="s">
        <v>21</v>
      </c>
      <c r="D18" s="6">
        <v>81</v>
      </c>
      <c r="E18" s="2">
        <v>39.65</v>
      </c>
      <c r="F18" s="6">
        <v>65</v>
      </c>
    </row>
    <row r="19" spans="2:6" x14ac:dyDescent="0.3">
      <c r="C19" t="s">
        <v>15</v>
      </c>
      <c r="D19" s="6">
        <v>175</v>
      </c>
      <c r="E19" s="2">
        <v>10.029999999999999</v>
      </c>
      <c r="F19" s="6">
        <v>100</v>
      </c>
    </row>
    <row r="20" spans="2:6" x14ac:dyDescent="0.3">
      <c r="C20" t="s">
        <v>11</v>
      </c>
      <c r="D20" s="6">
        <v>189</v>
      </c>
      <c r="E20" s="2">
        <v>3.8</v>
      </c>
      <c r="F20" s="6">
        <v>89</v>
      </c>
    </row>
    <row r="21" spans="2:6" x14ac:dyDescent="0.3">
      <c r="B21" t="s">
        <v>28</v>
      </c>
      <c r="D21" s="6">
        <v>114</v>
      </c>
      <c r="E21" s="2">
        <v>10.44</v>
      </c>
      <c r="F21" s="6">
        <v>98</v>
      </c>
    </row>
    <row r="22" spans="2:6" x14ac:dyDescent="0.3">
      <c r="C22" t="s">
        <v>15</v>
      </c>
      <c r="D22" s="6">
        <v>71</v>
      </c>
      <c r="E22" s="2">
        <v>10.44</v>
      </c>
      <c r="F22" s="6">
        <v>31</v>
      </c>
    </row>
    <row r="23" spans="2:6" x14ac:dyDescent="0.3">
      <c r="C23" t="s">
        <v>11</v>
      </c>
      <c r="D23" s="6">
        <v>43</v>
      </c>
      <c r="E23" s="2">
        <v>74.97</v>
      </c>
      <c r="F23" s="6">
        <v>98</v>
      </c>
    </row>
    <row r="24" spans="2:6" x14ac:dyDescent="0.3">
      <c r="B24" t="s">
        <v>29</v>
      </c>
      <c r="D24" s="6">
        <v>2054</v>
      </c>
      <c r="E24" s="2">
        <v>1.37</v>
      </c>
      <c r="F24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2026-10-11T08:29:10Z</dcterms:created>
  <dcterms:modified xsi:type="dcterms:W3CDTF">2026-10-11T08:29:22Z</dcterms:modified>
</cp:coreProperties>
</file>