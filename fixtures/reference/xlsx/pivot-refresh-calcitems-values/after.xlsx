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3D6A28D6-8557-4FEF-85C5-1D8F484D5B7E}" xr6:coauthVersionLast="47" xr6:coauthVersionMax="47" xr10:uidLastSave="{00000000-0000-0000-0000-000000000000}"/>
  <bookViews>
    <workbookView xWindow="0" yWindow="0" windowWidth="19200" windowHeight="12000" xr2:uid="{1CD8AA0E-69F6-4D30-84BB-C4D5C0D88D68}"/>
  </bookViews>
  <sheets>
    <sheet name="Data" sheetId="1" r:id="rId1"/>
    <sheet name="P1" sheetId="2" r:id="rId2"/>
    <sheet name="P2" sheetId="3" r:id="rId3"/>
    <sheet name="P3" sheetId="4" r:id="rId4"/>
    <sheet name="P4" sheetId="5" r:id="rId5"/>
  </sheets>
  <calcPr calcId="191029"/>
  <pivotCaches>
    <pivotCache cacheId="245" r:id="rId6"/>
    <pivotCache cacheId="250" r:id="rId7"/>
    <pivotCache cacheId="255" r:id="rId8"/>
    <pivotCache cacheId="26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<sst xmlns="http://schemas.openxmlformats.org/spreadsheetml/2006/main" count="389" uniqueCount="41">
  <si>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</si>
  <si>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</si>
  <si>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</si>
  <si>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</si>
  <si>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</si>
  <si>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</si>
  <si>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</si>
  <si>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</si>
  <si>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</si>
  <si>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</si>
  <si>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</si>
  <si>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</si>
  <si>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</si>
  <si>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</si>
  <si>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</si>
  <si>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</si>
  <si>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</si>
  <si>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</si>
  <si>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</si>
  <si>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</si>
  <si>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</si>
  <si>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</si>
  <si>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</si>
  <si>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</si>
  <si>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</si>
  <si>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</si>
  <si>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</si>
  <si>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</si>
  <si>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Grand Total</t>
  </si>
  <si>
    <t>Sum of Revenue</t>
  </si>
  <si>
    <t>Combo</t>
  </si>
  <si>
    <t>Column Labels</t>
  </si>
  <si>
    <t>Sum of Units</t>
  </si>
  <si>
    <t>Gap</t>
  </si>
  <si>
    <t>(blank)</t>
  </si>
  <si>
    <t>Top</t>
  </si>
  <si>
    <t>East Total</t>
  </si>
  <si>
    <t>North Total</t>
  </si>
  <si>
    <t>South Total</t>
  </si>
  <si>
    <t>West Total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</si>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</sst>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412962963" createdVersion="8" refreshedVersion="8" minRefreshableVersion="3" recordCount="60" xr:uid="{7A8AD84E-8342-4B56-A54B-B3C8EEBD65C2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7">
        <s v="Date"/>
        <s v="Banana"/>
        <s v="Fig"/>
        <s v="Cherry"/>
        <s v="apple"/>
        <s v="Walnut"/>
        <s v="Combo" f="1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100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11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calculatedItems count="1">
    <calculatedItem formula="Product[Walnut]+Product[Cherry]">
      <pivotArea cacheIndex="1" outline="0" fieldPosition="0">
        <references count="1">
          <reference field="1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430787037" createdVersion="8" refreshedVersion="8" minRefreshableVersion="3" recordCount="60" xr:uid="{E6028235-C236-435E-9ACD-6EAB695ED47A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8">
        <s v="Date"/>
        <s v="Banana"/>
        <s v="Fig"/>
        <s v="Cherry"/>
        <s v="apple"/>
        <s v="Walnut"/>
        <s v="Combo" f="1"/>
        <s v="Gap" f="1"/>
      </sharedItems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100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11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calculatedItems count="2">
    <calculatedItem formula="Product[Walnut]+Product[Cherry]">
      <pivotArea cacheIndex="1" outline="0" fieldPosition="0">
        <references count="1">
          <reference field="1" count="1">
            <x v="6"/>
          </reference>
        </references>
      </pivotArea>
    </calculatedItem>
    <calculatedItem formula="Product[Banana]-Product[Cherry]">
      <pivotArea cacheIndex="1" outline="0" fieldPosition="0">
        <references count="1">
          <reference field="1" count="1">
            <x v="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474421297" createdVersion="8" refreshedVersion="8" minRefreshableVersion="3" recordCount="60" xr:uid="{EA8D4A3A-2EA5-4FC0-A44A-783F0C415B34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100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11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4">
        <s v="Silver"/>
        <s v="Gold"/>
        <s v="Bronze"/>
        <s v="Top" f="1"/>
      </sharedItems>
    </cacheField>
    <cacheField name="Size" numFmtId="0">
      <sharedItems/>
    </cacheField>
  </cacheFields>
  <calculatedItems count="1">
    <calculatedItem formula="Tier[Gold]+Tier[Silver]">
      <pivotArea cacheIndex="1" outline="0" fieldPosition="0">
        <references count="1">
          <reference field="8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9541087964" createdVersion="8" refreshedVersion="8" minRefreshableVersion="3" recordCount="60" xr:uid="{B4EF5DAA-256E-47AB-AF33-1F2047958A2A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7">
        <s v="Date"/>
        <s v="Banana"/>
        <s v="Fig"/>
        <s v="Cherry"/>
        <s v="apple"/>
        <s v="Walnut"/>
        <s v="Combo" f="1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100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11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calculatedItems count="1">
    <calculatedItem formula="Product[Walnut]+Product[Banana]">
      <pivotArea cacheIndex="1" outline="0" fieldPosition="0">
        <references count="1">
          <reference field="1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1234.5"/>
    <n v="66"/>
    <s v="Silver"/>
    <s v="S"/>
  </r>
  <r>
    <s v="South"/>
    <x v="1"/>
    <s v="Partner"/>
    <d v="2024-08-29T00:00:00"/>
    <n v="44"/>
    <n v="34.36"/>
    <n v="1511.84"/>
    <n v="64"/>
    <s v="Silver"/>
    <s v="S"/>
  </r>
  <r>
    <s v="North"/>
    <x v="2"/>
    <s v="Retail"/>
    <d v="2025-11-30T00:00:00"/>
    <n v="39"/>
    <n v="48.38"/>
    <n v="1886.82"/>
    <n v="62"/>
    <s v="Gold"/>
    <s v="S"/>
  </r>
  <r>
    <s v="South"/>
    <x v="1"/>
    <s v="Retail"/>
    <d v="2024-07-02T00:00:00"/>
    <n v="1"/>
    <n v="2.92"/>
    <n v="99.25"/>
    <n v="83"/>
    <s v="Silver"/>
    <s v="L"/>
  </r>
  <r>
    <s v="East"/>
    <x v="3"/>
    <s v="Retail"/>
    <d v="2025-03-19T00:00:00"/>
    <m/>
    <n v="32.409999999999997"/>
    <m/>
    <n v="28"/>
    <s v="Silver"/>
    <s v="L"/>
  </r>
  <r>
    <s v="North"/>
    <x v="0"/>
    <s v="Retail"/>
    <d v="2025-09-04T00:00:00"/>
    <n v="12"/>
    <n v="20.37"/>
    <n v="264.81"/>
    <n v="2"/>
    <s v="Gold"/>
    <s v="S"/>
  </r>
  <r>
    <s v="West"/>
    <x v="3"/>
    <s v="Online"/>
    <d v="2025-07-10T00:00:00"/>
    <n v="32"/>
    <n v="33.880000000000003"/>
    <n v="1084.1600000000001"/>
    <n v="67"/>
    <s v="Silver"/>
    <s v="L"/>
  </r>
  <r>
    <s v="East"/>
    <x v="3"/>
    <s v="Online"/>
    <d v="2025-01-14T00:00:00"/>
    <n v="100"/>
    <n v="76.569999999999993"/>
    <n v="1071.98"/>
    <n v="89"/>
    <s v="Silver"/>
    <s v="S"/>
  </r>
  <r>
    <s v="North"/>
    <x v="1"/>
    <s v="Online"/>
    <d v="2025-01-12T00:00:00"/>
    <n v="1"/>
    <n v="11"/>
    <n v="11"/>
    <n v="80"/>
    <s v="Bronze"/>
    <s v="S"/>
  </r>
  <r>
    <s v="West"/>
    <x v="3"/>
    <s v="Online"/>
    <d v="2024-08-25T00:00:00"/>
    <n v="14"/>
    <n v="86.44"/>
    <n v="1210.1600000000001"/>
    <n v="59"/>
    <s v="Gold"/>
    <s v="S"/>
  </r>
  <r>
    <s v="South"/>
    <x v="2"/>
    <s v="Retail"/>
    <d v="2025-12-25T00:00:00"/>
    <n v="2"/>
    <n v="63.65"/>
    <n v="127.3"/>
    <n v="98"/>
    <s v="Silver"/>
    <s v="S"/>
  </r>
  <r>
    <s v="North"/>
    <x v="4"/>
    <s v="Online"/>
    <d v="2024-03-29T00:00:00"/>
    <n v="21"/>
    <n v="23.89"/>
    <n v="501.69"/>
    <n v="10"/>
    <s v="Bronze"/>
    <s v="L"/>
  </r>
  <r>
    <s v="South"/>
    <x v="0"/>
    <s v="Retail"/>
    <d v="2025-08-14T00:00:00"/>
    <n v="15"/>
    <n v="26.93"/>
    <n v="403.95"/>
    <n v="64"/>
    <s v="Gold"/>
    <s v="L"/>
  </r>
  <r>
    <s v="East"/>
    <x v="1"/>
    <s v="Online"/>
    <d v="2024-04-14T00:00:00"/>
    <n v="27"/>
    <n v="27.04"/>
    <n v="730.08"/>
    <n v="24"/>
    <s v="Bronze"/>
    <s v="S"/>
  </r>
  <r>
    <s v="North"/>
    <x v="2"/>
    <s v="Partner"/>
    <d v="2025-09-05T00:00:00"/>
    <m/>
    <n v="92.45"/>
    <m/>
    <n v="3"/>
    <s v="Gold"/>
    <s v="S"/>
  </r>
  <r>
    <s v="East"/>
    <x v="4"/>
    <s v="Online"/>
    <d v="2024-06-02T00:00:00"/>
    <n v="28"/>
    <n v="13.87"/>
    <n v="388.36"/>
    <n v="91"/>
    <s v="Gold"/>
    <s v="S"/>
  </r>
  <r>
    <s v="West"/>
    <x v="3"/>
    <s v="Retail"/>
    <d v="2025-10-22T00:00:00"/>
    <n v="22"/>
    <n v="81.3"/>
    <n v="1788.6"/>
    <n v="16"/>
    <s v="Gold"/>
    <s v="S"/>
  </r>
  <r>
    <m/>
    <x v="5"/>
    <s v="Online"/>
    <d v="2024-02-04T00:00:00"/>
    <n v="2"/>
    <n v="67.8"/>
    <n v="135.6"/>
    <n v="15"/>
    <s v="Bronze"/>
    <s v="L"/>
  </r>
  <r>
    <s v="West"/>
    <x v="2"/>
    <s v="Partner"/>
    <d v="2025-09-14T00:00:00"/>
    <n v="7"/>
    <n v="28.28"/>
    <n v="197.96"/>
    <n v="11"/>
    <s v="Bronze"/>
    <s v="L"/>
  </r>
  <r>
    <s v="South"/>
    <x v="5"/>
    <s v="Online"/>
    <d v="2025-11-16T00:00:00"/>
    <n v="5"/>
    <n v="74.14"/>
    <n v="370.7"/>
    <n v="79"/>
    <s v="Bronze"/>
    <s v="S"/>
  </r>
  <r>
    <s v="South"/>
    <x v="0"/>
    <s v="Online"/>
    <d v="2024-07-31T00:00:00"/>
    <n v="47"/>
    <n v="66.5"/>
    <n v="3125.5"/>
    <n v="57"/>
    <s v="Gold"/>
    <s v="S"/>
  </r>
  <r>
    <s v="West"/>
    <x v="5"/>
    <s v="Online"/>
    <d v="2025-04-20T00:00:00"/>
    <n v="11"/>
    <n v="24.39"/>
    <n v="268.29000000000002"/>
    <n v="81"/>
    <s v="Gold"/>
    <s v="L"/>
  </r>
  <r>
    <s v="South"/>
    <x v="4"/>
    <s v="Online"/>
    <d v="2024-10-28T00:00:00"/>
    <n v="28"/>
    <n v="21.64"/>
    <n v="605.91999999999996"/>
    <n v="92"/>
    <s v="Silver"/>
    <s v="S"/>
  </r>
  <r>
    <s v="West"/>
    <x v="5"/>
    <s v="Retail"/>
    <d v="2024-12-01T00:00:00"/>
    <n v="47"/>
    <n v="21.61"/>
    <n v="1015.67"/>
    <n v="56"/>
    <s v="Silver"/>
    <s v="S"/>
  </r>
  <r>
    <s v="East"/>
    <x v="0"/>
    <s v="Online"/>
    <d v="2025-07-30T00:00:00"/>
    <n v="10"/>
    <n v="3.96"/>
    <n v="39.6"/>
    <n v="0"/>
    <s v="Gold"/>
    <s v="L"/>
  </r>
  <r>
    <m/>
    <x v="5"/>
    <s v="Retail"/>
    <d v="2024-02-10T00:00:00"/>
    <n v="3"/>
    <n v="21.84"/>
    <n v="65.52"/>
    <n v="78"/>
    <s v="Silver"/>
    <s v="S"/>
  </r>
  <r>
    <s v="East"/>
    <x v="4"/>
    <s v="Online"/>
    <d v="2024-03-09T00:00:00"/>
    <n v="29"/>
    <n v="81.48"/>
    <n v="2362.92"/>
    <n v="95"/>
    <s v="Gold"/>
    <s v="S"/>
  </r>
  <r>
    <s v="West"/>
    <x v="0"/>
    <s v="Retail"/>
    <d v="2025-02-28T00:00:00"/>
    <n v="12"/>
    <n v="20.94"/>
    <n v="251.28"/>
    <n v="35"/>
    <s v="Bronze"/>
    <s v="L"/>
  </r>
  <r>
    <s v="North"/>
    <x v="5"/>
    <s v="Partner"/>
    <d v="2024-06-03T00:00:00"/>
    <m/>
    <n v="1.82"/>
    <m/>
    <n v="39"/>
    <s v="Silver"/>
    <s v="L"/>
  </r>
  <r>
    <s v="East"/>
    <x v="1"/>
    <s v="Retail"/>
    <d v="2024-03-15T00:00:00"/>
    <n v="3"/>
    <n v="83.26"/>
    <n v="249.78"/>
    <n v="93"/>
    <s v="Bronze"/>
    <s v="L"/>
  </r>
  <r>
    <s v="West"/>
    <x v="3"/>
    <s v="Online"/>
    <d v="2024-10-26T00:00:00"/>
    <n v="7"/>
    <n v="23.09"/>
    <n v="161.63"/>
    <n v="13"/>
    <s v="Bronze"/>
    <s v="S"/>
  </r>
  <r>
    <s v="North"/>
    <x v="0"/>
    <s v="Partner"/>
    <d v="2024-06-01T00:00:00"/>
    <n v="17"/>
    <n v="30.34"/>
    <n v="515.78"/>
    <n v="20"/>
    <s v="Gold"/>
    <s v="L"/>
  </r>
  <r>
    <s v="North"/>
    <x v="1"/>
    <s v="Retail"/>
    <d v="2024-10-08T00:00:00"/>
    <n v="33"/>
    <n v="21.62"/>
    <n v="713.46"/>
    <n v="71"/>
    <s v="Bronze"/>
    <s v="L"/>
  </r>
  <r>
    <s v="West"/>
    <x v="0"/>
    <s v="Retail"/>
    <d v="2025-04-23T00:00:00"/>
    <n v="8"/>
    <n v="74.23"/>
    <n v="593.84"/>
    <n v="54"/>
    <s v="Silver"/>
    <s v="L"/>
  </r>
  <r>
    <s v="North"/>
    <x v="3"/>
    <s v="Partner"/>
    <d v="2024-12-22T00:00:00"/>
    <n v="40"/>
    <n v="29.81"/>
    <n v="1192.4000000000001"/>
    <n v="18"/>
    <s v="Bronze"/>
    <s v="L"/>
  </r>
  <r>
    <s v="North"/>
    <x v="2"/>
    <s v="Online"/>
    <d v="2025-05-02T00:00:00"/>
    <n v="17"/>
    <n v="80.05"/>
    <n v="1360.85"/>
    <n v="73"/>
    <s v="Bronze"/>
    <s v="L"/>
  </r>
  <r>
    <s v="West"/>
    <x v="0"/>
    <s v="Online"/>
    <d v="2024-07-05T00:00:00"/>
    <n v="15"/>
    <n v="44.13"/>
    <n v="661.95"/>
    <n v="85"/>
    <s v="Silver"/>
    <s v="L"/>
  </r>
  <r>
    <s v="West"/>
    <x v="3"/>
    <s v="Retail"/>
    <d v="2024-07-07T00:00:00"/>
    <n v="9"/>
    <n v="39.26"/>
    <n v="353.34"/>
    <n v="91"/>
    <s v="Bronze"/>
    <s v="L"/>
  </r>
  <r>
    <s v="West"/>
    <x v="2"/>
    <s v="Retail"/>
    <d v="2025-07-31T00:00:00"/>
    <n v="29"/>
    <n v="47.74"/>
    <n v="1384.46"/>
    <n v="20"/>
    <s v="Bronze"/>
    <s v="S"/>
  </r>
  <r>
    <s v="South"/>
    <x v="0"/>
    <s v="Retail"/>
    <d v="2025-06-06T00:00:00"/>
    <n v="15"/>
    <n v="32.29"/>
    <n v="484.35"/>
    <n v="43"/>
    <s v="Gold"/>
    <s v="S"/>
  </r>
  <r>
    <s v="South"/>
    <x v="1"/>
    <s v="Partner"/>
    <d v="2025-02-14T00:00:00"/>
    <n v="46"/>
    <n v="51.14"/>
    <n v="2352.44"/>
    <n v="85"/>
    <s v="Gold"/>
    <s v="L"/>
  </r>
  <r>
    <s v="East"/>
    <x v="1"/>
    <s v="Online"/>
    <d v="2025-02-17T00:00:00"/>
    <n v="35"/>
    <n v="19.670000000000002"/>
    <n v="688.45"/>
    <n v="83"/>
    <s v="Bronze"/>
    <s v="L"/>
  </r>
  <r>
    <s v="North"/>
    <x v="1"/>
    <s v="Retail"/>
    <d v="2024-05-11T00:00:00"/>
    <n v="15"/>
    <n v="6.14"/>
    <n v="92.1"/>
    <n v="89"/>
    <s v="Gold"/>
    <s v="L"/>
  </r>
  <r>
    <s v="North"/>
    <x v="5"/>
    <s v="Partner"/>
    <d v="2025-01-25T00:00:00"/>
    <n v="9"/>
    <n v="44.09"/>
    <n v="396.81"/>
    <n v="19"/>
    <s v="Silver"/>
    <s v="L"/>
  </r>
  <r>
    <s v="North"/>
    <x v="5"/>
    <s v="Partner"/>
    <d v="2024-10-18T00:00:00"/>
    <n v="37"/>
    <n v="17.29"/>
    <n v="639.73"/>
    <n v="54"/>
    <s v="Silver"/>
    <s v="S"/>
  </r>
  <r>
    <s v="North"/>
    <x v="0"/>
    <s v="Online"/>
    <d v="2025-04-26T00:00:00"/>
    <n v="23"/>
    <n v="62.63"/>
    <n v="1440.49"/>
    <n v="13"/>
    <s v="Silver"/>
    <s v="S"/>
  </r>
  <r>
    <s v="South"/>
    <x v="4"/>
    <s v="Online"/>
    <d v="2024-09-18T00:00:00"/>
    <n v="28"/>
    <n v="14.27"/>
    <n v="399.56"/>
    <n v="89"/>
    <s v="Silver"/>
    <s v="S"/>
  </r>
  <r>
    <s v="North"/>
    <x v="2"/>
    <s v="Partner"/>
    <d v="2024-09-22T00:00:00"/>
    <n v="12"/>
    <n v="40.4"/>
    <n v="484.8"/>
    <n v="94"/>
    <s v="Gold"/>
    <s v="S"/>
  </r>
  <r>
    <s v="North"/>
    <x v="2"/>
    <s v="Partner"/>
    <d v="2024-09-02T00:00:00"/>
    <n v="23"/>
    <n v="1.03"/>
    <n v="23.69"/>
    <n v="2"/>
    <s v="Silver"/>
    <s v="S"/>
  </r>
  <r>
    <s v="South"/>
    <x v="0"/>
    <s v="Partner"/>
    <d v="2025-10-02T00:00:00"/>
    <n v="17"/>
    <n v="42.27"/>
    <n v="718.59"/>
    <n v="55"/>
    <s v="Silver"/>
    <s v="S"/>
  </r>
  <r>
    <s v="South"/>
    <x v="4"/>
    <s v="Online"/>
    <d v="2024-04-20T00:00:00"/>
    <n v="41"/>
    <n v="18.79"/>
    <n v="770.39"/>
    <n v="37"/>
    <s v="Silver"/>
    <s v="L"/>
  </r>
  <r>
    <s v="South"/>
    <x v="2"/>
    <s v="Online"/>
    <d v="2025-02-25T00:00:00"/>
    <n v="33"/>
    <n v="33.61"/>
    <n v="1109.1300000000001"/>
    <n v="12"/>
    <s v="Gold"/>
    <s v="S"/>
  </r>
  <r>
    <s v="East"/>
    <x v="2"/>
    <s v="Retail"/>
    <d v="2025-03-09T00:00:00"/>
    <n v="32"/>
    <n v="85.14"/>
    <n v="2724.48"/>
    <n v="80"/>
    <s v="Silver"/>
    <s v="L"/>
  </r>
  <r>
    <s v="South"/>
    <x v="4"/>
    <s v="Partner"/>
    <d v="2025-12-07T00:00:00"/>
    <n v="20"/>
    <n v="74.81"/>
    <n v="1496.2"/>
    <n v="21"/>
    <s v="Silver"/>
    <s v="S"/>
  </r>
  <r>
    <s v="West"/>
    <x v="5"/>
    <s v="Partner"/>
    <d v="2024-03-08T00:00:00"/>
    <n v="13"/>
    <n v="3.74"/>
    <n v="48.62"/>
    <n v="50"/>
    <s v="Bronze"/>
    <s v="L"/>
  </r>
  <r>
    <s v="North"/>
    <x v="2"/>
    <s v="Online"/>
    <d v="2025-04-17T00:00:00"/>
    <n v="8"/>
    <n v="40.43"/>
    <n v="323.44"/>
    <n v="88"/>
    <s v="Gold"/>
    <s v="S"/>
  </r>
  <r>
    <s v="West"/>
    <x v="3"/>
    <s v="Retail"/>
    <d v="2024-01-01T00:00:00"/>
    <n v="12"/>
    <n v="27.48"/>
    <n v="329.76"/>
    <n v="78"/>
    <s v="Bronze"/>
    <s v="S"/>
  </r>
  <r>
    <s v="West"/>
    <x v="1"/>
    <s v="Partner"/>
    <d v="2024-05-20T00:00:00"/>
    <n v="48"/>
    <n v="12.27"/>
    <n v="588.96"/>
    <n v="52"/>
    <s v="Bronze"/>
    <s v="L"/>
  </r>
  <r>
    <s v="West"/>
    <x v="5"/>
    <s v="Partner"/>
    <d v="2024-05-27T00:00:00"/>
    <n v="19"/>
    <n v="61.09"/>
    <n v="1160.71"/>
    <n v="63"/>
    <s v="Silver"/>
    <s v="L"/>
  </r>
  <r>
    <s v="West"/>
    <x v="1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x v="0"/>
    <d v="2024-11-04T00:00:00"/>
    <n v="37"/>
    <n v="26.94"/>
    <n v="1234.5"/>
    <n v="66"/>
    <s v="Silver"/>
    <s v="S"/>
  </r>
  <r>
    <s v="South"/>
    <x v="1"/>
    <x v="0"/>
    <d v="2024-08-29T00:00:00"/>
    <n v="44"/>
    <n v="34.36"/>
    <n v="1511.84"/>
    <n v="64"/>
    <s v="Silver"/>
    <s v="S"/>
  </r>
  <r>
    <s v="North"/>
    <x v="2"/>
    <x v="1"/>
    <d v="2025-11-30T00:00:00"/>
    <n v="39"/>
    <n v="48.38"/>
    <n v="1886.82"/>
    <n v="62"/>
    <s v="Gold"/>
    <s v="S"/>
  </r>
  <r>
    <s v="South"/>
    <x v="1"/>
    <x v="1"/>
    <d v="2024-07-02T00:00:00"/>
    <n v="1"/>
    <n v="2.92"/>
    <n v="99.25"/>
    <n v="83"/>
    <s v="Silver"/>
    <s v="L"/>
  </r>
  <r>
    <s v="East"/>
    <x v="3"/>
    <x v="1"/>
    <d v="2025-03-19T00:00:00"/>
    <m/>
    <n v="32.409999999999997"/>
    <m/>
    <n v="28"/>
    <s v="Silver"/>
    <s v="L"/>
  </r>
  <r>
    <s v="North"/>
    <x v="0"/>
    <x v="1"/>
    <d v="2025-09-04T00:00:00"/>
    <n v="12"/>
    <n v="20.37"/>
    <n v="264.81"/>
    <n v="2"/>
    <s v="Gold"/>
    <s v="S"/>
  </r>
  <r>
    <s v="West"/>
    <x v="3"/>
    <x v="2"/>
    <d v="2025-07-10T00:00:00"/>
    <n v="32"/>
    <n v="33.880000000000003"/>
    <n v="1084.1600000000001"/>
    <n v="67"/>
    <s v="Silver"/>
    <s v="L"/>
  </r>
  <r>
    <s v="East"/>
    <x v="3"/>
    <x v="2"/>
    <d v="2025-01-14T00:00:00"/>
    <n v="100"/>
    <n v="76.569999999999993"/>
    <n v="1071.98"/>
    <n v="89"/>
    <s v="Silver"/>
    <s v="S"/>
  </r>
  <r>
    <s v="North"/>
    <x v="1"/>
    <x v="2"/>
    <d v="2025-01-12T00:00:00"/>
    <n v="1"/>
    <n v="11"/>
    <n v="11"/>
    <n v="80"/>
    <s v="Bronze"/>
    <s v="S"/>
  </r>
  <r>
    <s v="West"/>
    <x v="3"/>
    <x v="2"/>
    <d v="2024-08-25T00:00:00"/>
    <n v="14"/>
    <n v="86.44"/>
    <n v="1210.1600000000001"/>
    <n v="59"/>
    <s v="Gold"/>
    <s v="S"/>
  </r>
  <r>
    <s v="South"/>
    <x v="2"/>
    <x v="1"/>
    <d v="2025-12-25T00:00:00"/>
    <n v="2"/>
    <n v="63.65"/>
    <n v="127.3"/>
    <n v="98"/>
    <s v="Silver"/>
    <s v="S"/>
  </r>
  <r>
    <s v="North"/>
    <x v="4"/>
    <x v="2"/>
    <d v="2024-03-29T00:00:00"/>
    <n v="21"/>
    <n v="23.89"/>
    <n v="501.69"/>
    <n v="10"/>
    <s v="Bronze"/>
    <s v="L"/>
  </r>
  <r>
    <s v="South"/>
    <x v="0"/>
    <x v="1"/>
    <d v="2025-08-14T00:00:00"/>
    <n v="15"/>
    <n v="26.93"/>
    <n v="403.95"/>
    <n v="64"/>
    <s v="Gold"/>
    <s v="L"/>
  </r>
  <r>
    <s v="East"/>
    <x v="1"/>
    <x v="2"/>
    <d v="2024-04-14T00:00:00"/>
    <n v="27"/>
    <n v="27.04"/>
    <n v="730.08"/>
    <n v="24"/>
    <s v="Bronze"/>
    <s v="S"/>
  </r>
  <r>
    <s v="North"/>
    <x v="2"/>
    <x v="0"/>
    <d v="2025-09-05T00:00:00"/>
    <m/>
    <n v="92.45"/>
    <m/>
    <n v="3"/>
    <s v="Gold"/>
    <s v="S"/>
  </r>
  <r>
    <s v="East"/>
    <x v="4"/>
    <x v="2"/>
    <d v="2024-06-02T00:00:00"/>
    <n v="28"/>
    <n v="13.87"/>
    <n v="388.36"/>
    <n v="91"/>
    <s v="Gold"/>
    <s v="S"/>
  </r>
  <r>
    <s v="West"/>
    <x v="3"/>
    <x v="1"/>
    <d v="2025-10-22T00:00:00"/>
    <n v="22"/>
    <n v="81.3"/>
    <n v="1788.6"/>
    <n v="16"/>
    <s v="Gold"/>
    <s v="S"/>
  </r>
  <r>
    <m/>
    <x v="5"/>
    <x v="2"/>
    <d v="2024-02-04T00:00:00"/>
    <n v="2"/>
    <n v="67.8"/>
    <n v="135.6"/>
    <n v="15"/>
    <s v="Bronze"/>
    <s v="L"/>
  </r>
  <r>
    <s v="West"/>
    <x v="2"/>
    <x v="0"/>
    <d v="2025-09-14T00:00:00"/>
    <n v="7"/>
    <n v="28.28"/>
    <n v="197.96"/>
    <n v="11"/>
    <s v="Bronze"/>
    <s v="L"/>
  </r>
  <r>
    <s v="South"/>
    <x v="5"/>
    <x v="2"/>
    <d v="2025-11-16T00:00:00"/>
    <n v="5"/>
    <n v="74.14"/>
    <n v="370.7"/>
    <n v="79"/>
    <s v="Bronze"/>
    <s v="S"/>
  </r>
  <r>
    <s v="South"/>
    <x v="0"/>
    <x v="2"/>
    <d v="2024-07-31T00:00:00"/>
    <n v="47"/>
    <n v="66.5"/>
    <n v="3125.5"/>
    <n v="57"/>
    <s v="Gold"/>
    <s v="S"/>
  </r>
  <r>
    <s v="West"/>
    <x v="5"/>
    <x v="2"/>
    <d v="2025-04-20T00:00:00"/>
    <n v="11"/>
    <n v="24.39"/>
    <n v="268.29000000000002"/>
    <n v="81"/>
    <s v="Gold"/>
    <s v="L"/>
  </r>
  <r>
    <s v="South"/>
    <x v="4"/>
    <x v="2"/>
    <d v="2024-10-28T00:00:00"/>
    <n v="28"/>
    <n v="21.64"/>
    <n v="605.91999999999996"/>
    <n v="92"/>
    <s v="Silver"/>
    <s v="S"/>
  </r>
  <r>
    <s v="West"/>
    <x v="5"/>
    <x v="1"/>
    <d v="2024-12-01T00:00:00"/>
    <n v="47"/>
    <n v="21.61"/>
    <n v="1015.67"/>
    <n v="56"/>
    <s v="Silver"/>
    <s v="S"/>
  </r>
  <r>
    <s v="East"/>
    <x v="0"/>
    <x v="2"/>
    <d v="2025-07-30T00:00:00"/>
    <n v="10"/>
    <n v="3.96"/>
    <n v="39.6"/>
    <n v="0"/>
    <s v="Gold"/>
    <s v="L"/>
  </r>
  <r>
    <m/>
    <x v="5"/>
    <x v="1"/>
    <d v="2024-02-10T00:00:00"/>
    <n v="3"/>
    <n v="21.84"/>
    <n v="65.52"/>
    <n v="78"/>
    <s v="Silver"/>
    <s v="S"/>
  </r>
  <r>
    <s v="East"/>
    <x v="4"/>
    <x v="2"/>
    <d v="2024-03-09T00:00:00"/>
    <n v="29"/>
    <n v="81.48"/>
    <n v="2362.92"/>
    <n v="95"/>
    <s v="Gold"/>
    <s v="S"/>
  </r>
  <r>
    <s v="West"/>
    <x v="0"/>
    <x v="1"/>
    <d v="2025-02-28T00:00:00"/>
    <n v="12"/>
    <n v="20.94"/>
    <n v="251.28"/>
    <n v="35"/>
    <s v="Bronze"/>
    <s v="L"/>
  </r>
  <r>
    <s v="North"/>
    <x v="5"/>
    <x v="0"/>
    <d v="2024-06-03T00:00:00"/>
    <m/>
    <n v="1.82"/>
    <m/>
    <n v="39"/>
    <s v="Silver"/>
    <s v="L"/>
  </r>
  <r>
    <s v="East"/>
    <x v="1"/>
    <x v="1"/>
    <d v="2024-03-15T00:00:00"/>
    <n v="3"/>
    <n v="83.26"/>
    <n v="249.78"/>
    <n v="93"/>
    <s v="Bronze"/>
    <s v="L"/>
  </r>
  <r>
    <s v="West"/>
    <x v="3"/>
    <x v="2"/>
    <d v="2024-10-26T00:00:00"/>
    <n v="7"/>
    <n v="23.09"/>
    <n v="161.63"/>
    <n v="13"/>
    <s v="Bronze"/>
    <s v="S"/>
  </r>
  <r>
    <s v="North"/>
    <x v="0"/>
    <x v="0"/>
    <d v="2024-06-01T00:00:00"/>
    <n v="17"/>
    <n v="30.34"/>
    <n v="515.78"/>
    <n v="20"/>
    <s v="Gold"/>
    <s v="L"/>
  </r>
  <r>
    <s v="North"/>
    <x v="1"/>
    <x v="1"/>
    <d v="2024-10-08T00:00:00"/>
    <n v="33"/>
    <n v="21.62"/>
    <n v="713.46"/>
    <n v="71"/>
    <s v="Bronze"/>
    <s v="L"/>
  </r>
  <r>
    <s v="West"/>
    <x v="0"/>
    <x v="1"/>
    <d v="2025-04-23T00:00:00"/>
    <n v="8"/>
    <n v="74.23"/>
    <n v="593.84"/>
    <n v="54"/>
    <s v="Silver"/>
    <s v="L"/>
  </r>
  <r>
    <s v="North"/>
    <x v="3"/>
    <x v="0"/>
    <d v="2024-12-22T00:00:00"/>
    <n v="40"/>
    <n v="29.81"/>
    <n v="1192.4000000000001"/>
    <n v="18"/>
    <s v="Bronze"/>
    <s v="L"/>
  </r>
  <r>
    <s v="North"/>
    <x v="2"/>
    <x v="2"/>
    <d v="2025-05-02T00:00:00"/>
    <n v="17"/>
    <n v="80.05"/>
    <n v="1360.85"/>
    <n v="73"/>
    <s v="Bronze"/>
    <s v="L"/>
  </r>
  <r>
    <s v="West"/>
    <x v="0"/>
    <x v="2"/>
    <d v="2024-07-05T00:00:00"/>
    <n v="15"/>
    <n v="44.13"/>
    <n v="661.95"/>
    <n v="85"/>
    <s v="Silver"/>
    <s v="L"/>
  </r>
  <r>
    <s v="West"/>
    <x v="3"/>
    <x v="1"/>
    <d v="2024-07-07T00:00:00"/>
    <n v="9"/>
    <n v="39.26"/>
    <n v="353.34"/>
    <n v="91"/>
    <s v="Bronze"/>
    <s v="L"/>
  </r>
  <r>
    <s v="West"/>
    <x v="2"/>
    <x v="1"/>
    <d v="2025-07-31T00:00:00"/>
    <n v="29"/>
    <n v="47.74"/>
    <n v="1384.46"/>
    <n v="20"/>
    <s v="Bronze"/>
    <s v="S"/>
  </r>
  <r>
    <s v="South"/>
    <x v="0"/>
    <x v="1"/>
    <d v="2025-06-06T00:00:00"/>
    <n v="15"/>
    <n v="32.29"/>
    <n v="484.35"/>
    <n v="43"/>
    <s v="Gold"/>
    <s v="S"/>
  </r>
  <r>
    <s v="South"/>
    <x v="1"/>
    <x v="0"/>
    <d v="2025-02-14T00:00:00"/>
    <n v="46"/>
    <n v="51.14"/>
    <n v="2352.44"/>
    <n v="85"/>
    <s v="Gold"/>
    <s v="L"/>
  </r>
  <r>
    <s v="East"/>
    <x v="1"/>
    <x v="2"/>
    <d v="2025-02-17T00:00:00"/>
    <n v="35"/>
    <n v="19.670000000000002"/>
    <n v="688.45"/>
    <n v="83"/>
    <s v="Bronze"/>
    <s v="L"/>
  </r>
  <r>
    <s v="North"/>
    <x v="1"/>
    <x v="1"/>
    <d v="2024-05-11T00:00:00"/>
    <n v="15"/>
    <n v="6.14"/>
    <n v="92.1"/>
    <n v="89"/>
    <s v="Gold"/>
    <s v="L"/>
  </r>
  <r>
    <s v="North"/>
    <x v="5"/>
    <x v="0"/>
    <d v="2025-01-25T00:00:00"/>
    <n v="9"/>
    <n v="44.09"/>
    <n v="396.81"/>
    <n v="19"/>
    <s v="Silver"/>
    <s v="L"/>
  </r>
  <r>
    <s v="North"/>
    <x v="5"/>
    <x v="0"/>
    <d v="2024-10-18T00:00:00"/>
    <n v="37"/>
    <n v="17.29"/>
    <n v="639.73"/>
    <n v="54"/>
    <s v="Silver"/>
    <s v="S"/>
  </r>
  <r>
    <s v="North"/>
    <x v="0"/>
    <x v="2"/>
    <d v="2025-04-26T00:00:00"/>
    <n v="23"/>
    <n v="62.63"/>
    <n v="1440.49"/>
    <n v="13"/>
    <s v="Silver"/>
    <s v="S"/>
  </r>
  <r>
    <s v="South"/>
    <x v="4"/>
    <x v="2"/>
    <d v="2024-09-18T00:00:00"/>
    <n v="28"/>
    <n v="14.27"/>
    <n v="399.56"/>
    <n v="89"/>
    <s v="Silver"/>
    <s v="S"/>
  </r>
  <r>
    <s v="North"/>
    <x v="2"/>
    <x v="0"/>
    <d v="2024-09-22T00:00:00"/>
    <n v="12"/>
    <n v="40.4"/>
    <n v="484.8"/>
    <n v="94"/>
    <s v="Gold"/>
    <s v="S"/>
  </r>
  <r>
    <s v="North"/>
    <x v="2"/>
    <x v="0"/>
    <d v="2024-09-02T00:00:00"/>
    <n v="23"/>
    <n v="1.03"/>
    <n v="23.69"/>
    <n v="2"/>
    <s v="Silver"/>
    <s v="S"/>
  </r>
  <r>
    <s v="South"/>
    <x v="0"/>
    <x v="0"/>
    <d v="2025-10-02T00:00:00"/>
    <n v="17"/>
    <n v="42.27"/>
    <n v="718.59"/>
    <n v="55"/>
    <s v="Silver"/>
    <s v="S"/>
  </r>
  <r>
    <s v="South"/>
    <x v="4"/>
    <x v="2"/>
    <d v="2024-04-20T00:00:00"/>
    <n v="41"/>
    <n v="18.79"/>
    <n v="770.39"/>
    <n v="37"/>
    <s v="Silver"/>
    <s v="L"/>
  </r>
  <r>
    <s v="South"/>
    <x v="2"/>
    <x v="2"/>
    <d v="2025-02-25T00:00:00"/>
    <n v="33"/>
    <n v="33.61"/>
    <n v="1109.1300000000001"/>
    <n v="12"/>
    <s v="Gold"/>
    <s v="S"/>
  </r>
  <r>
    <s v="East"/>
    <x v="2"/>
    <x v="1"/>
    <d v="2025-03-09T00:00:00"/>
    <n v="32"/>
    <n v="85.14"/>
    <n v="2724.48"/>
    <n v="80"/>
    <s v="Silver"/>
    <s v="L"/>
  </r>
  <r>
    <s v="South"/>
    <x v="4"/>
    <x v="0"/>
    <d v="2025-12-07T00:00:00"/>
    <n v="20"/>
    <n v="74.81"/>
    <n v="1496.2"/>
    <n v="21"/>
    <s v="Silver"/>
    <s v="S"/>
  </r>
  <r>
    <s v="West"/>
    <x v="5"/>
    <x v="0"/>
    <d v="2024-03-08T00:00:00"/>
    <n v="13"/>
    <n v="3.74"/>
    <n v="48.62"/>
    <n v="50"/>
    <s v="Bronze"/>
    <s v="L"/>
  </r>
  <r>
    <s v="North"/>
    <x v="2"/>
    <x v="2"/>
    <d v="2025-04-17T00:00:00"/>
    <n v="8"/>
    <n v="40.43"/>
    <n v="323.44"/>
    <n v="88"/>
    <s v="Gold"/>
    <s v="S"/>
  </r>
  <r>
    <s v="West"/>
    <x v="3"/>
    <x v="1"/>
    <d v="2024-01-01T00:00:00"/>
    <n v="12"/>
    <n v="27.48"/>
    <n v="329.76"/>
    <n v="78"/>
    <s v="Bronze"/>
    <s v="S"/>
  </r>
  <r>
    <s v="West"/>
    <x v="1"/>
    <x v="0"/>
    <d v="2024-05-20T00:00:00"/>
    <n v="48"/>
    <n v="12.27"/>
    <n v="588.96"/>
    <n v="52"/>
    <s v="Bronze"/>
    <s v="L"/>
  </r>
  <r>
    <s v="West"/>
    <x v="5"/>
    <x v="0"/>
    <d v="2024-05-27T00:00:00"/>
    <n v="19"/>
    <n v="61.09"/>
    <n v="1160.71"/>
    <n v="63"/>
    <s v="Silver"/>
    <s v="L"/>
  </r>
  <r>
    <s v="West"/>
    <x v="1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1234.5"/>
    <n v="66"/>
    <x v="0"/>
    <s v="S"/>
  </r>
  <r>
    <x v="1"/>
    <s v="Banana"/>
    <s v="Partner"/>
    <d v="2024-08-29T00:00:00"/>
    <n v="44"/>
    <n v="34.36"/>
    <n v="1511.84"/>
    <n v="64"/>
    <x v="0"/>
    <s v="S"/>
  </r>
  <r>
    <x v="0"/>
    <s v="Fig"/>
    <s v="Retail"/>
    <d v="2025-11-30T00:00:00"/>
    <n v="39"/>
    <n v="48.38"/>
    <n v="1886.82"/>
    <n v="62"/>
    <x v="1"/>
    <s v="S"/>
  </r>
  <r>
    <x v="1"/>
    <s v="Banana"/>
    <s v="Retail"/>
    <d v="2024-07-02T00:00:00"/>
    <n v="1"/>
    <n v="2.92"/>
    <n v="99.25"/>
    <n v="83"/>
    <x v="0"/>
    <s v="L"/>
  </r>
  <r>
    <x v="2"/>
    <s v="Cherry"/>
    <s v="Retail"/>
    <d v="2025-03-19T00:00:00"/>
    <m/>
    <n v="32.409999999999997"/>
    <m/>
    <n v="28"/>
    <x v="0"/>
    <s v="L"/>
  </r>
  <r>
    <x v="0"/>
    <s v="Date"/>
    <s v="Retail"/>
    <d v="2025-09-04T00:00:00"/>
    <n v="12"/>
    <n v="20.37"/>
    <n v="264.81"/>
    <n v="2"/>
    <x v="1"/>
    <s v="S"/>
  </r>
  <r>
    <x v="3"/>
    <s v="Cherry"/>
    <s v="Online"/>
    <d v="2025-07-10T00:00:00"/>
    <n v="32"/>
    <n v="33.880000000000003"/>
    <n v="1084.1600000000001"/>
    <n v="67"/>
    <x v="0"/>
    <s v="L"/>
  </r>
  <r>
    <x v="2"/>
    <s v="Cherry"/>
    <s v="Online"/>
    <d v="2025-01-14T00:00:00"/>
    <n v="100"/>
    <n v="76.569999999999993"/>
    <n v="1071.98"/>
    <n v="89"/>
    <x v="0"/>
    <s v="S"/>
  </r>
  <r>
    <x v="0"/>
    <s v="Banana"/>
    <s v="Online"/>
    <d v="2025-01-12T00:00:00"/>
    <n v="1"/>
    <n v="11"/>
    <n v="11"/>
    <n v="80"/>
    <x v="2"/>
    <s v="S"/>
  </r>
  <r>
    <x v="3"/>
    <s v="Cherry"/>
    <s v="Online"/>
    <d v="2024-08-25T00:00:00"/>
    <n v="14"/>
    <n v="86.44"/>
    <n v="1210.1600000000001"/>
    <n v="59"/>
    <x v="1"/>
    <s v="S"/>
  </r>
  <r>
    <x v="1"/>
    <s v="Fig"/>
    <s v="Retail"/>
    <d v="2025-12-25T00:00:00"/>
    <n v="2"/>
    <n v="63.65"/>
    <n v="127.3"/>
    <n v="98"/>
    <x v="0"/>
    <s v="S"/>
  </r>
  <r>
    <x v="0"/>
    <s v="apple"/>
    <s v="Online"/>
    <d v="2024-03-29T00:00:00"/>
    <n v="21"/>
    <n v="23.89"/>
    <n v="501.69"/>
    <n v="10"/>
    <x v="2"/>
    <s v="L"/>
  </r>
  <r>
    <x v="1"/>
    <s v="Date"/>
    <s v="Retail"/>
    <d v="2025-08-14T00:00:00"/>
    <n v="15"/>
    <n v="26.93"/>
    <n v="403.95"/>
    <n v="64"/>
    <x v="1"/>
    <s v="L"/>
  </r>
  <r>
    <x v="2"/>
    <s v="Banana"/>
    <s v="Online"/>
    <d v="2024-04-14T00:00:00"/>
    <n v="27"/>
    <n v="27.04"/>
    <n v="730.08"/>
    <n v="24"/>
    <x v="2"/>
    <s v="S"/>
  </r>
  <r>
    <x v="0"/>
    <s v="Fig"/>
    <s v="Partner"/>
    <d v="2025-09-05T00:00:00"/>
    <m/>
    <n v="92.45"/>
    <m/>
    <n v="3"/>
    <x v="1"/>
    <s v="S"/>
  </r>
  <r>
    <x v="2"/>
    <s v="apple"/>
    <s v="Online"/>
    <d v="2024-06-02T00:00:00"/>
    <n v="28"/>
    <n v="13.87"/>
    <n v="388.36"/>
    <n v="91"/>
    <x v="1"/>
    <s v="S"/>
  </r>
  <r>
    <x v="3"/>
    <s v="Cherry"/>
    <s v="Retail"/>
    <d v="2025-10-22T00:00:00"/>
    <n v="22"/>
    <n v="81.3"/>
    <n v="1788.6"/>
    <n v="16"/>
    <x v="1"/>
    <s v="S"/>
  </r>
  <r>
    <x v="4"/>
    <s v="Walnut"/>
    <s v="Online"/>
    <d v="2024-02-04T00:00:00"/>
    <n v="2"/>
    <n v="67.8"/>
    <n v="135.6"/>
    <n v="15"/>
    <x v="2"/>
    <s v="L"/>
  </r>
  <r>
    <x v="3"/>
    <s v="Fig"/>
    <s v="Partner"/>
    <d v="2025-09-14T00:00:00"/>
    <n v="7"/>
    <n v="28.28"/>
    <n v="197.96"/>
    <n v="11"/>
    <x v="2"/>
    <s v="L"/>
  </r>
  <r>
    <x v="1"/>
    <s v="Walnut"/>
    <s v="Online"/>
    <d v="2025-11-16T00:00:00"/>
    <n v="5"/>
    <n v="74.14"/>
    <n v="370.7"/>
    <n v="79"/>
    <x v="2"/>
    <s v="S"/>
  </r>
  <r>
    <x v="1"/>
    <s v="Date"/>
    <s v="Online"/>
    <d v="2024-07-31T00:00:00"/>
    <n v="47"/>
    <n v="66.5"/>
    <n v="3125.5"/>
    <n v="57"/>
    <x v="1"/>
    <s v="S"/>
  </r>
  <r>
    <x v="3"/>
    <s v="Walnut"/>
    <s v="Online"/>
    <d v="2025-04-20T00:00:00"/>
    <n v="11"/>
    <n v="24.39"/>
    <n v="268.29000000000002"/>
    <n v="81"/>
    <x v="1"/>
    <s v="L"/>
  </r>
  <r>
    <x v="1"/>
    <s v="apple"/>
    <s v="Online"/>
    <d v="2024-10-28T00:00:00"/>
    <n v="28"/>
    <n v="21.64"/>
    <n v="605.91999999999996"/>
    <n v="92"/>
    <x v="0"/>
    <s v="S"/>
  </r>
  <r>
    <x v="3"/>
    <s v="Walnut"/>
    <s v="Retail"/>
    <d v="2024-12-01T00:00:00"/>
    <n v="47"/>
    <n v="21.61"/>
    <n v="1015.67"/>
    <n v="56"/>
    <x v="0"/>
    <s v="S"/>
  </r>
  <r>
    <x v="2"/>
    <s v="Date"/>
    <s v="Online"/>
    <d v="2025-07-30T00:00:00"/>
    <n v="10"/>
    <n v="3.96"/>
    <n v="39.6"/>
    <n v="0"/>
    <x v="1"/>
    <s v="L"/>
  </r>
  <r>
    <x v="4"/>
    <s v="Walnut"/>
    <s v="Retail"/>
    <d v="2024-02-10T00:00:00"/>
    <n v="3"/>
    <n v="21.84"/>
    <n v="65.52"/>
    <n v="78"/>
    <x v="0"/>
    <s v="S"/>
  </r>
  <r>
    <x v="2"/>
    <s v="apple"/>
    <s v="Online"/>
    <d v="2024-03-09T00:00:00"/>
    <n v="29"/>
    <n v="81.48"/>
    <n v="2362.92"/>
    <n v="95"/>
    <x v="1"/>
    <s v="S"/>
  </r>
  <r>
    <x v="3"/>
    <s v="Date"/>
    <s v="Retail"/>
    <d v="2025-02-28T00:00:00"/>
    <n v="12"/>
    <n v="20.94"/>
    <n v="251.28"/>
    <n v="35"/>
    <x v="2"/>
    <s v="L"/>
  </r>
  <r>
    <x v="0"/>
    <s v="Walnut"/>
    <s v="Partner"/>
    <d v="2024-06-03T00:00:00"/>
    <m/>
    <n v="1.82"/>
    <m/>
    <n v="39"/>
    <x v="0"/>
    <s v="L"/>
  </r>
  <r>
    <x v="2"/>
    <s v="Banana"/>
    <s v="Retail"/>
    <d v="2024-03-15T00:00:00"/>
    <n v="3"/>
    <n v="83.26"/>
    <n v="249.78"/>
    <n v="93"/>
    <x v="2"/>
    <s v="L"/>
  </r>
  <r>
    <x v="3"/>
    <s v="Cherry"/>
    <s v="Online"/>
    <d v="2024-10-26T00:00:00"/>
    <n v="7"/>
    <n v="23.09"/>
    <n v="161.63"/>
    <n v="13"/>
    <x v="2"/>
    <s v="S"/>
  </r>
  <r>
    <x v="0"/>
    <s v="Date"/>
    <s v="Partner"/>
    <d v="2024-06-01T00:00:00"/>
    <n v="17"/>
    <n v="30.34"/>
    <n v="515.78"/>
    <n v="20"/>
    <x v="1"/>
    <s v="L"/>
  </r>
  <r>
    <x v="0"/>
    <s v="Banana"/>
    <s v="Retail"/>
    <d v="2024-10-08T00:00:00"/>
    <n v="33"/>
    <n v="21.62"/>
    <n v="713.46"/>
    <n v="71"/>
    <x v="2"/>
    <s v="L"/>
  </r>
  <r>
    <x v="3"/>
    <s v="Date"/>
    <s v="Retail"/>
    <d v="2025-04-23T00:00:00"/>
    <n v="8"/>
    <n v="74.23"/>
    <n v="593.84"/>
    <n v="54"/>
    <x v="0"/>
    <s v="L"/>
  </r>
  <r>
    <x v="0"/>
    <s v="Cherry"/>
    <s v="Partner"/>
    <d v="2024-12-22T00:00:00"/>
    <n v="40"/>
    <n v="29.81"/>
    <n v="1192.4000000000001"/>
    <n v="18"/>
    <x v="2"/>
    <s v="L"/>
  </r>
  <r>
    <x v="0"/>
    <s v="Fig"/>
    <s v="Online"/>
    <d v="2025-05-02T00:00:00"/>
    <n v="17"/>
    <n v="80.05"/>
    <n v="1360.85"/>
    <n v="73"/>
    <x v="2"/>
    <s v="L"/>
  </r>
  <r>
    <x v="3"/>
    <s v="Date"/>
    <s v="Online"/>
    <d v="2024-07-05T00:00:00"/>
    <n v="15"/>
    <n v="44.13"/>
    <n v="661.95"/>
    <n v="85"/>
    <x v="0"/>
    <s v="L"/>
  </r>
  <r>
    <x v="3"/>
    <s v="Cherry"/>
    <s v="Retail"/>
    <d v="2024-07-07T00:00:00"/>
    <n v="9"/>
    <n v="39.26"/>
    <n v="353.34"/>
    <n v="91"/>
    <x v="2"/>
    <s v="L"/>
  </r>
  <r>
    <x v="3"/>
    <s v="Fig"/>
    <s v="Retail"/>
    <d v="2025-07-31T00:00:00"/>
    <n v="29"/>
    <n v="47.74"/>
    <n v="1384.46"/>
    <n v="20"/>
    <x v="2"/>
    <s v="S"/>
  </r>
  <r>
    <x v="1"/>
    <s v="Date"/>
    <s v="Retail"/>
    <d v="2025-06-06T00:00:00"/>
    <n v="15"/>
    <n v="32.29"/>
    <n v="484.35"/>
    <n v="43"/>
    <x v="1"/>
    <s v="S"/>
  </r>
  <r>
    <x v="1"/>
    <s v="Banana"/>
    <s v="Partner"/>
    <d v="2025-02-14T00:00:00"/>
    <n v="46"/>
    <n v="51.14"/>
    <n v="2352.44"/>
    <n v="85"/>
    <x v="1"/>
    <s v="L"/>
  </r>
  <r>
    <x v="2"/>
    <s v="Banana"/>
    <s v="Online"/>
    <d v="2025-02-17T00:00:00"/>
    <n v="35"/>
    <n v="19.670000000000002"/>
    <n v="688.45"/>
    <n v="83"/>
    <x v="2"/>
    <s v="L"/>
  </r>
  <r>
    <x v="0"/>
    <s v="Banana"/>
    <s v="Retail"/>
    <d v="2024-05-11T00:00:00"/>
    <n v="15"/>
    <n v="6.14"/>
    <n v="92.1"/>
    <n v="89"/>
    <x v="1"/>
    <s v="L"/>
  </r>
  <r>
    <x v="0"/>
    <s v="Walnut"/>
    <s v="Partner"/>
    <d v="2025-01-25T00:00:00"/>
    <n v="9"/>
    <n v="44.09"/>
    <n v="396.81"/>
    <n v="19"/>
    <x v="0"/>
    <s v="L"/>
  </r>
  <r>
    <x v="0"/>
    <s v="Walnut"/>
    <s v="Partner"/>
    <d v="2024-10-18T00:00:00"/>
    <n v="37"/>
    <n v="17.29"/>
    <n v="639.73"/>
    <n v="54"/>
    <x v="0"/>
    <s v="S"/>
  </r>
  <r>
    <x v="0"/>
    <s v="Date"/>
    <s v="Online"/>
    <d v="2025-04-26T00:00:00"/>
    <n v="23"/>
    <n v="62.63"/>
    <n v="1440.49"/>
    <n v="13"/>
    <x v="0"/>
    <s v="S"/>
  </r>
  <r>
    <x v="1"/>
    <s v="apple"/>
    <s v="Online"/>
    <d v="2024-09-18T00:00:00"/>
    <n v="28"/>
    <n v="14.27"/>
    <n v="399.56"/>
    <n v="89"/>
    <x v="0"/>
    <s v="S"/>
  </r>
  <r>
    <x v="0"/>
    <s v="Fig"/>
    <s v="Partner"/>
    <d v="2024-09-22T00:00:00"/>
    <n v="12"/>
    <n v="40.4"/>
    <n v="484.8"/>
    <n v="94"/>
    <x v="1"/>
    <s v="S"/>
  </r>
  <r>
    <x v="0"/>
    <s v="Fig"/>
    <s v="Partner"/>
    <d v="2024-09-02T00:00:00"/>
    <n v="23"/>
    <n v="1.03"/>
    <n v="23.69"/>
    <n v="2"/>
    <x v="0"/>
    <s v="S"/>
  </r>
  <r>
    <x v="1"/>
    <s v="Date"/>
    <s v="Partner"/>
    <d v="2025-10-02T00:00:00"/>
    <n v="17"/>
    <n v="42.27"/>
    <n v="718.59"/>
    <n v="55"/>
    <x v="0"/>
    <s v="S"/>
  </r>
  <r>
    <x v="1"/>
    <s v="apple"/>
    <s v="Online"/>
    <d v="2024-04-20T00:00:00"/>
    <n v="41"/>
    <n v="18.79"/>
    <n v="770.39"/>
    <n v="37"/>
    <x v="0"/>
    <s v="L"/>
  </r>
  <r>
    <x v="1"/>
    <s v="Fig"/>
    <s v="Online"/>
    <d v="2025-02-25T00:00:00"/>
    <n v="33"/>
    <n v="33.61"/>
    <n v="1109.1300000000001"/>
    <n v="12"/>
    <x v="1"/>
    <s v="S"/>
  </r>
  <r>
    <x v="2"/>
    <s v="Fig"/>
    <s v="Retail"/>
    <d v="2025-03-09T00:00:00"/>
    <n v="32"/>
    <n v="85.14"/>
    <n v="2724.48"/>
    <n v="80"/>
    <x v="0"/>
    <s v="L"/>
  </r>
  <r>
    <x v="1"/>
    <s v="apple"/>
    <s v="Partner"/>
    <d v="2025-12-07T00:00:00"/>
    <n v="20"/>
    <n v="74.81"/>
    <n v="1496.2"/>
    <n v="21"/>
    <x v="0"/>
    <s v="S"/>
  </r>
  <r>
    <x v="3"/>
    <s v="Walnut"/>
    <s v="Partner"/>
    <d v="2024-03-08T00:00:00"/>
    <n v="13"/>
    <n v="3.74"/>
    <n v="48.62"/>
    <n v="50"/>
    <x v="2"/>
    <s v="L"/>
  </r>
  <r>
    <x v="0"/>
    <s v="Fig"/>
    <s v="Online"/>
    <d v="2025-04-17T00:00:00"/>
    <n v="8"/>
    <n v="40.43"/>
    <n v="323.44"/>
    <n v="88"/>
    <x v="1"/>
    <s v="S"/>
  </r>
  <r>
    <x v="3"/>
    <s v="Cherry"/>
    <s v="Retail"/>
    <d v="2024-01-01T00:00:00"/>
    <n v="12"/>
    <n v="27.48"/>
    <n v="329.76"/>
    <n v="78"/>
    <x v="2"/>
    <s v="S"/>
  </r>
  <r>
    <x v="3"/>
    <s v="Banana"/>
    <s v="Partner"/>
    <d v="2024-05-20T00:00:00"/>
    <n v="48"/>
    <n v="12.27"/>
    <n v="588.96"/>
    <n v="52"/>
    <x v="2"/>
    <s v="L"/>
  </r>
  <r>
    <x v="3"/>
    <s v="Walnut"/>
    <s v="Partner"/>
    <d v="2024-05-27T00:00:00"/>
    <n v="19"/>
    <n v="61.09"/>
    <n v="1160.71"/>
    <n v="63"/>
    <x v="0"/>
    <s v="L"/>
  </r>
  <r>
    <x v="3"/>
    <s v="Banana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s v="Partner"/>
    <d v="2024-11-04T00:00:00"/>
    <n v="37"/>
    <n v="26.94"/>
    <n v="1234.5"/>
    <n v="66"/>
    <s v="Silver"/>
    <s v="S"/>
  </r>
  <r>
    <x v="1"/>
    <x v="1"/>
    <s v="Partner"/>
    <d v="2024-08-29T00:00:00"/>
    <n v="44"/>
    <n v="34.36"/>
    <n v="1511.84"/>
    <n v="64"/>
    <s v="Silver"/>
    <s v="S"/>
  </r>
  <r>
    <x v="0"/>
    <x v="2"/>
    <s v="Retail"/>
    <d v="2025-11-30T00:00:00"/>
    <n v="39"/>
    <n v="48.38"/>
    <n v="1886.82"/>
    <n v="62"/>
    <s v="Gold"/>
    <s v="S"/>
  </r>
  <r>
    <x v="1"/>
    <x v="1"/>
    <s v="Retail"/>
    <d v="2024-07-02T00:00:00"/>
    <n v="1"/>
    <n v="2.92"/>
    <n v="99.25"/>
    <n v="83"/>
    <s v="Silver"/>
    <s v="L"/>
  </r>
  <r>
    <x v="2"/>
    <x v="3"/>
    <s v="Retail"/>
    <d v="2025-03-19T00:00:00"/>
    <m/>
    <n v="32.409999999999997"/>
    <m/>
    <n v="28"/>
    <s v="Silver"/>
    <s v="L"/>
  </r>
  <r>
    <x v="0"/>
    <x v="0"/>
    <s v="Retail"/>
    <d v="2025-09-04T00:00:00"/>
    <n v="12"/>
    <n v="20.37"/>
    <n v="264.81"/>
    <n v="2"/>
    <s v="Gold"/>
    <s v="S"/>
  </r>
  <r>
    <x v="3"/>
    <x v="3"/>
    <s v="Online"/>
    <d v="2025-07-10T00:00:00"/>
    <n v="32"/>
    <n v="33.880000000000003"/>
    <n v="1084.1600000000001"/>
    <n v="67"/>
    <s v="Silver"/>
    <s v="L"/>
  </r>
  <r>
    <x v="2"/>
    <x v="3"/>
    <s v="Online"/>
    <d v="2025-01-14T00:00:00"/>
    <n v="100"/>
    <n v="76.569999999999993"/>
    <n v="1071.98"/>
    <n v="89"/>
    <s v="Silver"/>
    <s v="S"/>
  </r>
  <r>
    <x v="0"/>
    <x v="1"/>
    <s v="Online"/>
    <d v="2025-01-12T00:00:00"/>
    <n v="1"/>
    <n v="11"/>
    <n v="11"/>
    <n v="80"/>
    <s v="Bronze"/>
    <s v="S"/>
  </r>
  <r>
    <x v="3"/>
    <x v="3"/>
    <s v="Online"/>
    <d v="2024-08-25T00:00:00"/>
    <n v="14"/>
    <n v="86.44"/>
    <n v="1210.1600000000001"/>
    <n v="59"/>
    <s v="Gold"/>
    <s v="S"/>
  </r>
  <r>
    <x v="1"/>
    <x v="2"/>
    <s v="Retail"/>
    <d v="2025-12-25T00:00:00"/>
    <n v="2"/>
    <n v="63.65"/>
    <n v="127.3"/>
    <n v="98"/>
    <s v="Silver"/>
    <s v="S"/>
  </r>
  <r>
    <x v="0"/>
    <x v="4"/>
    <s v="Online"/>
    <d v="2024-03-29T00:00:00"/>
    <n v="21"/>
    <n v="23.89"/>
    <n v="501.69"/>
    <n v="10"/>
    <s v="Bronze"/>
    <s v="L"/>
  </r>
  <r>
    <x v="1"/>
    <x v="0"/>
    <s v="Retail"/>
    <d v="2025-08-14T00:00:00"/>
    <n v="15"/>
    <n v="26.93"/>
    <n v="403.95"/>
    <n v="64"/>
    <s v="Gold"/>
    <s v="L"/>
  </r>
  <r>
    <x v="2"/>
    <x v="1"/>
    <s v="Online"/>
    <d v="2024-04-14T00:00:00"/>
    <n v="27"/>
    <n v="27.04"/>
    <n v="730.08"/>
    <n v="24"/>
    <s v="Bronze"/>
    <s v="S"/>
  </r>
  <r>
    <x v="0"/>
    <x v="2"/>
    <s v="Partner"/>
    <d v="2025-09-05T00:00:00"/>
    <m/>
    <n v="92.45"/>
    <m/>
    <n v="3"/>
    <s v="Gold"/>
    <s v="S"/>
  </r>
  <r>
    <x v="2"/>
    <x v="4"/>
    <s v="Online"/>
    <d v="2024-06-02T00:00:00"/>
    <n v="28"/>
    <n v="13.87"/>
    <n v="388.36"/>
    <n v="91"/>
    <s v="Gold"/>
    <s v="S"/>
  </r>
  <r>
    <x v="3"/>
    <x v="3"/>
    <s v="Retail"/>
    <d v="2025-10-22T00:00:00"/>
    <n v="22"/>
    <n v="81.3"/>
    <n v="1788.6"/>
    <n v="16"/>
    <s v="Gold"/>
    <s v="S"/>
  </r>
  <r>
    <x v="4"/>
    <x v="5"/>
    <s v="Online"/>
    <d v="2024-02-04T00:00:00"/>
    <n v="2"/>
    <n v="67.8"/>
    <n v="135.6"/>
    <n v="15"/>
    <s v="Bronze"/>
    <s v="L"/>
  </r>
  <r>
    <x v="3"/>
    <x v="2"/>
    <s v="Partner"/>
    <d v="2025-09-14T00:00:00"/>
    <n v="7"/>
    <n v="28.28"/>
    <n v="197.96"/>
    <n v="11"/>
    <s v="Bronze"/>
    <s v="L"/>
  </r>
  <r>
    <x v="1"/>
    <x v="5"/>
    <s v="Online"/>
    <d v="2025-11-16T00:00:00"/>
    <n v="5"/>
    <n v="74.14"/>
    <n v="370.7"/>
    <n v="79"/>
    <s v="Bronze"/>
    <s v="S"/>
  </r>
  <r>
    <x v="1"/>
    <x v="0"/>
    <s v="Online"/>
    <d v="2024-07-31T00:00:00"/>
    <n v="47"/>
    <n v="66.5"/>
    <n v="3125.5"/>
    <n v="57"/>
    <s v="Gold"/>
    <s v="S"/>
  </r>
  <r>
    <x v="3"/>
    <x v="5"/>
    <s v="Online"/>
    <d v="2025-04-20T00:00:00"/>
    <n v="11"/>
    <n v="24.39"/>
    <n v="268.29000000000002"/>
    <n v="81"/>
    <s v="Gold"/>
    <s v="L"/>
  </r>
  <r>
    <x v="1"/>
    <x v="4"/>
    <s v="Online"/>
    <d v="2024-10-28T00:00:00"/>
    <n v="28"/>
    <n v="21.64"/>
    <n v="605.91999999999996"/>
    <n v="92"/>
    <s v="Silver"/>
    <s v="S"/>
  </r>
  <r>
    <x v="3"/>
    <x v="5"/>
    <s v="Retail"/>
    <d v="2024-12-01T00:00:00"/>
    <n v="47"/>
    <n v="21.61"/>
    <n v="1015.67"/>
    <n v="56"/>
    <s v="Silver"/>
    <s v="S"/>
  </r>
  <r>
    <x v="2"/>
    <x v="0"/>
    <s v="Online"/>
    <d v="2025-07-30T00:00:00"/>
    <n v="10"/>
    <n v="3.96"/>
    <n v="39.6"/>
    <n v="0"/>
    <s v="Gold"/>
    <s v="L"/>
  </r>
  <r>
    <x v="4"/>
    <x v="5"/>
    <s v="Retail"/>
    <d v="2024-02-10T00:00:00"/>
    <n v="3"/>
    <n v="21.84"/>
    <n v="65.52"/>
    <n v="78"/>
    <s v="Silver"/>
    <s v="S"/>
  </r>
  <r>
    <x v="2"/>
    <x v="4"/>
    <s v="Online"/>
    <d v="2024-03-09T00:00:00"/>
    <n v="29"/>
    <n v="81.48"/>
    <n v="2362.92"/>
    <n v="95"/>
    <s v="Gold"/>
    <s v="S"/>
  </r>
  <r>
    <x v="3"/>
    <x v="0"/>
    <s v="Retail"/>
    <d v="2025-02-28T00:00:00"/>
    <n v="12"/>
    <n v="20.94"/>
    <n v="251.28"/>
    <n v="35"/>
    <s v="Bronze"/>
    <s v="L"/>
  </r>
  <r>
    <x v="0"/>
    <x v="5"/>
    <s v="Partner"/>
    <d v="2024-06-03T00:00:00"/>
    <m/>
    <n v="1.82"/>
    <m/>
    <n v="39"/>
    <s v="Silver"/>
    <s v="L"/>
  </r>
  <r>
    <x v="2"/>
    <x v="1"/>
    <s v="Retail"/>
    <d v="2024-03-15T00:00:00"/>
    <n v="3"/>
    <n v="83.26"/>
    <n v="249.78"/>
    <n v="93"/>
    <s v="Bronze"/>
    <s v="L"/>
  </r>
  <r>
    <x v="3"/>
    <x v="3"/>
    <s v="Online"/>
    <d v="2024-10-26T00:00:00"/>
    <n v="7"/>
    <n v="23.09"/>
    <n v="161.63"/>
    <n v="13"/>
    <s v="Bronze"/>
    <s v="S"/>
  </r>
  <r>
    <x v="0"/>
    <x v="0"/>
    <s v="Partner"/>
    <d v="2024-06-01T00:00:00"/>
    <n v="17"/>
    <n v="30.34"/>
    <n v="515.78"/>
    <n v="20"/>
    <s v="Gold"/>
    <s v="L"/>
  </r>
  <r>
    <x v="0"/>
    <x v="1"/>
    <s v="Retail"/>
    <d v="2024-10-08T00:00:00"/>
    <n v="33"/>
    <n v="21.62"/>
    <n v="713.46"/>
    <n v="71"/>
    <s v="Bronze"/>
    <s v="L"/>
  </r>
  <r>
    <x v="3"/>
    <x v="0"/>
    <s v="Retail"/>
    <d v="2025-04-23T00:00:00"/>
    <n v="8"/>
    <n v="74.23"/>
    <n v="593.84"/>
    <n v="54"/>
    <s v="Silver"/>
    <s v="L"/>
  </r>
  <r>
    <x v="0"/>
    <x v="3"/>
    <s v="Partner"/>
    <d v="2024-12-22T00:00:00"/>
    <n v="40"/>
    <n v="29.81"/>
    <n v="1192.4000000000001"/>
    <n v="18"/>
    <s v="Bronze"/>
    <s v="L"/>
  </r>
  <r>
    <x v="0"/>
    <x v="2"/>
    <s v="Online"/>
    <d v="2025-05-02T00:00:00"/>
    <n v="17"/>
    <n v="80.05"/>
    <n v="1360.85"/>
    <n v="73"/>
    <s v="Bronze"/>
    <s v="L"/>
  </r>
  <r>
    <x v="3"/>
    <x v="0"/>
    <s v="Online"/>
    <d v="2024-07-05T00:00:00"/>
    <n v="15"/>
    <n v="44.13"/>
    <n v="661.95"/>
    <n v="85"/>
    <s v="Silver"/>
    <s v="L"/>
  </r>
  <r>
    <x v="3"/>
    <x v="3"/>
    <s v="Retail"/>
    <d v="2024-07-07T00:00:00"/>
    <n v="9"/>
    <n v="39.26"/>
    <n v="353.34"/>
    <n v="91"/>
    <s v="Bronze"/>
    <s v="L"/>
  </r>
  <r>
    <x v="3"/>
    <x v="2"/>
    <s v="Retail"/>
    <d v="2025-07-31T00:00:00"/>
    <n v="29"/>
    <n v="47.74"/>
    <n v="1384.46"/>
    <n v="20"/>
    <s v="Bronze"/>
    <s v="S"/>
  </r>
  <r>
    <x v="1"/>
    <x v="0"/>
    <s v="Retail"/>
    <d v="2025-06-06T00:00:00"/>
    <n v="15"/>
    <n v="32.29"/>
    <n v="484.35"/>
    <n v="43"/>
    <s v="Gold"/>
    <s v="S"/>
  </r>
  <r>
    <x v="1"/>
    <x v="1"/>
    <s v="Partner"/>
    <d v="2025-02-14T00:00:00"/>
    <n v="46"/>
    <n v="51.14"/>
    <n v="2352.44"/>
    <n v="85"/>
    <s v="Gold"/>
    <s v="L"/>
  </r>
  <r>
    <x v="2"/>
    <x v="1"/>
    <s v="Online"/>
    <d v="2025-02-17T00:00:00"/>
    <n v="35"/>
    <n v="19.670000000000002"/>
    <n v="688.45"/>
    <n v="83"/>
    <s v="Bronze"/>
    <s v="L"/>
  </r>
  <r>
    <x v="0"/>
    <x v="1"/>
    <s v="Retail"/>
    <d v="2024-05-11T00:00:00"/>
    <n v="15"/>
    <n v="6.14"/>
    <n v="92.1"/>
    <n v="89"/>
    <s v="Gold"/>
    <s v="L"/>
  </r>
  <r>
    <x v="0"/>
    <x v="5"/>
    <s v="Partner"/>
    <d v="2025-01-25T00:00:00"/>
    <n v="9"/>
    <n v="44.09"/>
    <n v="396.81"/>
    <n v="19"/>
    <s v="Silver"/>
    <s v="L"/>
  </r>
  <r>
    <x v="0"/>
    <x v="5"/>
    <s v="Partner"/>
    <d v="2024-10-18T00:00:00"/>
    <n v="37"/>
    <n v="17.29"/>
    <n v="639.73"/>
    <n v="54"/>
    <s v="Silver"/>
    <s v="S"/>
  </r>
  <r>
    <x v="0"/>
    <x v="0"/>
    <s v="Online"/>
    <d v="2025-04-26T00:00:00"/>
    <n v="23"/>
    <n v="62.63"/>
    <n v="1440.49"/>
    <n v="13"/>
    <s v="Silver"/>
    <s v="S"/>
  </r>
  <r>
    <x v="1"/>
    <x v="4"/>
    <s v="Online"/>
    <d v="2024-09-18T00:00:00"/>
    <n v="28"/>
    <n v="14.27"/>
    <n v="399.56"/>
    <n v="89"/>
    <s v="Silver"/>
    <s v="S"/>
  </r>
  <r>
    <x v="0"/>
    <x v="2"/>
    <s v="Partner"/>
    <d v="2024-09-22T00:00:00"/>
    <n v="12"/>
    <n v="40.4"/>
    <n v="484.8"/>
    <n v="94"/>
    <s v="Gold"/>
    <s v="S"/>
  </r>
  <r>
    <x v="0"/>
    <x v="2"/>
    <s v="Partner"/>
    <d v="2024-09-02T00:00:00"/>
    <n v="23"/>
    <n v="1.03"/>
    <n v="23.69"/>
    <n v="2"/>
    <s v="Silver"/>
    <s v="S"/>
  </r>
  <r>
    <x v="1"/>
    <x v="0"/>
    <s v="Partner"/>
    <d v="2025-10-02T00:00:00"/>
    <n v="17"/>
    <n v="42.27"/>
    <n v="718.59"/>
    <n v="55"/>
    <s v="Silver"/>
    <s v="S"/>
  </r>
  <r>
    <x v="1"/>
    <x v="4"/>
    <s v="Online"/>
    <d v="2024-04-20T00:00:00"/>
    <n v="41"/>
    <n v="18.79"/>
    <n v="770.39"/>
    <n v="37"/>
    <s v="Silver"/>
    <s v="L"/>
  </r>
  <r>
    <x v="1"/>
    <x v="2"/>
    <s v="Online"/>
    <d v="2025-02-25T00:00:00"/>
    <n v="33"/>
    <n v="33.61"/>
    <n v="1109.1300000000001"/>
    <n v="12"/>
    <s v="Gold"/>
    <s v="S"/>
  </r>
  <r>
    <x v="2"/>
    <x v="2"/>
    <s v="Retail"/>
    <d v="2025-03-09T00:00:00"/>
    <n v="32"/>
    <n v="85.14"/>
    <n v="2724.48"/>
    <n v="80"/>
    <s v="Silver"/>
    <s v="L"/>
  </r>
  <r>
    <x v="1"/>
    <x v="4"/>
    <s v="Partner"/>
    <d v="2025-12-07T00:00:00"/>
    <n v="20"/>
    <n v="74.81"/>
    <n v="1496.2"/>
    <n v="21"/>
    <s v="Silver"/>
    <s v="S"/>
  </r>
  <r>
    <x v="3"/>
    <x v="5"/>
    <s v="Partner"/>
    <d v="2024-03-08T00:00:00"/>
    <n v="13"/>
    <n v="3.74"/>
    <n v="48.62"/>
    <n v="50"/>
    <s v="Bronze"/>
    <s v="L"/>
  </r>
  <r>
    <x v="0"/>
    <x v="2"/>
    <s v="Online"/>
    <d v="2025-04-17T00:00:00"/>
    <n v="8"/>
    <n v="40.43"/>
    <n v="323.44"/>
    <n v="88"/>
    <s v="Gold"/>
    <s v="S"/>
  </r>
  <r>
    <x v="3"/>
    <x v="3"/>
    <s v="Retail"/>
    <d v="2024-01-01T00:00:00"/>
    <n v="12"/>
    <n v="27.48"/>
    <n v="329.76"/>
    <n v="78"/>
    <s v="Bronze"/>
    <s v="S"/>
  </r>
  <r>
    <x v="3"/>
    <x v="1"/>
    <s v="Partner"/>
    <d v="2024-05-20T00:00:00"/>
    <n v="48"/>
    <n v="12.27"/>
    <n v="588.96"/>
    <n v="52"/>
    <s v="Bronze"/>
    <s v="L"/>
  </r>
  <r>
    <x v="3"/>
    <x v="5"/>
    <s v="Partner"/>
    <d v="2024-05-27T00:00:00"/>
    <n v="19"/>
    <n v="61.09"/>
    <n v="1160.71"/>
    <n v="63"/>
    <s v="Silver"/>
    <s v="L"/>
  </r>
  <r>
    <x v="3"/>
    <x v="1"/>
    <s v="Retail"/>
    <d v="2024-01-06T00:00:00"/>
    <m/>
    <n v="60.13"/>
    <m/>
    <n v="13"/>
    <s v="Silver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334AD-20E6-4FCF-87BE-D37230FDA9CE}" name="PT1" cacheId="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2" firstHeaderRow="1" firstDataRow="1" firstDataCol="1"/>
  <pivotFields count="10">
    <pivotField showAll="0"/>
    <pivotField axis="axisRow" showAll="0">
      <items count="8">
        <item x="4"/>
        <item x="1"/>
        <item x="3"/>
        <item x="0"/>
        <item x="2"/>
        <item x="5"/>
        <item f="1" x="6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20953-6339-41BD-BE42-4F14CBC4C1C8}" name="PT2" cacheId="2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4" firstHeaderRow="1" firstDataRow="2" firstDataCol="1"/>
  <pivotFields count="10">
    <pivotField showAll="0"/>
    <pivotField axis="axisRow" showAll="0">
      <items count="9">
        <item x="4"/>
        <item x="1"/>
        <item x="3"/>
        <item x="0"/>
        <item x="2"/>
        <item x="5"/>
        <item f="1" x="6"/>
        <item f="1" x="7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63506-253B-4414-BD14-77CD295E4B6D}" name="PT3" cacheId="2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11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axis="axisCol" showAll="0">
      <items count="5">
        <item x="2"/>
        <item x="1"/>
        <item x="0"/>
        <item f="1" x="3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08363-AB8F-414B-B748-96EF81F18442}" name="PT4" cacheId="2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37" firstHeaderRow="1" firstDataRow="1" firstDataCol="2"/>
  <pivotFields count="10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8">
        <item x="4"/>
        <item x="1"/>
        <item x="3"/>
        <item x="0"/>
        <item x="2"/>
        <item x="5"/>
        <item f="1" x="6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3">
    <i>
      <x/>
      <x/>
    </i>
    <i r="1">
      <x v="1"/>
    </i>
    <i r="1">
      <x v="2"/>
    </i>
    <i r="1">
      <x v="3"/>
    </i>
    <i r="1">
      <x v="4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1"/>
    </i>
    <i r="1">
      <x v="3"/>
    </i>
    <i r="1">
      <x v="4"/>
    </i>
    <i r="1">
      <x v="5"/>
    </i>
    <i r="1">
      <x v="6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t="default">
      <x v="3"/>
    </i>
    <i>
      <x v="4"/>
      <x v="5"/>
    </i>
    <i r="1">
      <x v="6"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B263-9CE0-44B1-B0E7-6992523E13B6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1234.5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99.25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12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100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AF20-42F1-47D3-8978-4F61BBF821D9}">
  <dimension ref="B4:C12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5" t="s">
        <v>25</v>
      </c>
      <c r="C5" s="6">
        <v>6525.04</v>
      </c>
    </row>
    <row r="6" spans="2:3" x14ac:dyDescent="0.3">
      <c r="B6" s="5" t="s">
        <v>15</v>
      </c>
      <c r="C6" s="6">
        <v>7037.3600000000006</v>
      </c>
    </row>
    <row r="7" spans="2:3" x14ac:dyDescent="0.3">
      <c r="B7" s="5" t="s">
        <v>21</v>
      </c>
      <c r="C7" s="6">
        <v>7192.0300000000007</v>
      </c>
    </row>
    <row r="8" spans="2:3" x14ac:dyDescent="0.3">
      <c r="B8" s="5" t="s">
        <v>3</v>
      </c>
      <c r="C8" s="6">
        <v>9734.6400000000012</v>
      </c>
    </row>
    <row r="9" spans="2:3" x14ac:dyDescent="0.3">
      <c r="B9" s="5" t="s">
        <v>16</v>
      </c>
      <c r="C9" s="6">
        <v>9622.93</v>
      </c>
    </row>
    <row r="10" spans="2:3" x14ac:dyDescent="0.3">
      <c r="B10" s="5" t="s">
        <v>26</v>
      </c>
      <c r="C10" s="6">
        <v>4101.6499999999996</v>
      </c>
    </row>
    <row r="11" spans="2:3" x14ac:dyDescent="0.3">
      <c r="B11" s="5" t="s">
        <v>30</v>
      </c>
      <c r="C11" s="6">
        <v>11293.68</v>
      </c>
    </row>
    <row r="12" spans="2:3" x14ac:dyDescent="0.3">
      <c r="B12" s="5" t="s">
        <v>28</v>
      </c>
      <c r="C12" s="6">
        <v>55507.33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729E-68AB-4C70-869C-BE717B16CFFD}">
  <dimension ref="B4:F14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32</v>
      </c>
      <c r="C4" s="4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28</v>
      </c>
    </row>
    <row r="6" spans="2:6" x14ac:dyDescent="0.3">
      <c r="B6" s="5" t="s">
        <v>25</v>
      </c>
      <c r="C6" s="6">
        <v>175</v>
      </c>
      <c r="D6" s="6">
        <v>20</v>
      </c>
      <c r="E6" s="6"/>
      <c r="F6" s="6">
        <v>195</v>
      </c>
    </row>
    <row r="7" spans="2:6" x14ac:dyDescent="0.3">
      <c r="B7" s="5" t="s">
        <v>15</v>
      </c>
      <c r="C7" s="6">
        <v>63</v>
      </c>
      <c r="D7" s="6">
        <v>138</v>
      </c>
      <c r="E7" s="6">
        <v>52</v>
      </c>
      <c r="F7" s="6">
        <v>253</v>
      </c>
    </row>
    <row r="8" spans="2:6" x14ac:dyDescent="0.3">
      <c r="B8" s="5" t="s">
        <v>21</v>
      </c>
      <c r="C8" s="6">
        <v>153</v>
      </c>
      <c r="D8" s="6">
        <v>40</v>
      </c>
      <c r="E8" s="6">
        <v>43</v>
      </c>
      <c r="F8" s="6">
        <v>236</v>
      </c>
    </row>
    <row r="9" spans="2:6" x14ac:dyDescent="0.3">
      <c r="B9" s="5" t="s">
        <v>3</v>
      </c>
      <c r="C9" s="6">
        <v>95</v>
      </c>
      <c r="D9" s="6">
        <v>71</v>
      </c>
      <c r="E9" s="6">
        <v>62</v>
      </c>
      <c r="F9" s="6">
        <v>228</v>
      </c>
    </row>
    <row r="10" spans="2:6" x14ac:dyDescent="0.3">
      <c r="B10" s="5" t="s">
        <v>16</v>
      </c>
      <c r="C10" s="6">
        <v>58</v>
      </c>
      <c r="D10" s="6">
        <v>42</v>
      </c>
      <c r="E10" s="6">
        <v>102</v>
      </c>
      <c r="F10" s="6">
        <v>202</v>
      </c>
    </row>
    <row r="11" spans="2:6" x14ac:dyDescent="0.3">
      <c r="B11" s="5" t="s">
        <v>26</v>
      </c>
      <c r="C11" s="6">
        <v>18</v>
      </c>
      <c r="D11" s="6">
        <v>78</v>
      </c>
      <c r="E11" s="6">
        <v>50</v>
      </c>
      <c r="F11" s="6">
        <v>146</v>
      </c>
    </row>
    <row r="12" spans="2:6" x14ac:dyDescent="0.3">
      <c r="B12" s="5" t="s">
        <v>30</v>
      </c>
      <c r="C12" s="6">
        <v>171</v>
      </c>
      <c r="D12" s="6">
        <v>118</v>
      </c>
      <c r="E12" s="6">
        <v>93</v>
      </c>
      <c r="F12" s="6">
        <v>382</v>
      </c>
    </row>
    <row r="13" spans="2:6" x14ac:dyDescent="0.3">
      <c r="B13" s="5" t="s">
        <v>33</v>
      </c>
      <c r="C13" s="6">
        <v>-90</v>
      </c>
      <c r="D13" s="6">
        <v>98</v>
      </c>
      <c r="E13" s="6">
        <v>9</v>
      </c>
      <c r="F13" s="6">
        <v>17</v>
      </c>
    </row>
    <row r="14" spans="2:6" x14ac:dyDescent="0.3">
      <c r="B14" s="5" t="s">
        <v>28</v>
      </c>
      <c r="C14" s="6">
        <v>643</v>
      </c>
      <c r="D14" s="6">
        <v>605</v>
      </c>
      <c r="E14" s="6">
        <v>411</v>
      </c>
      <c r="F14" s="6">
        <v>1659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F7EF-B8B8-41A5-B5B0-D217A5ECC350}">
  <dimension ref="B4:G11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6" width="9" bestFit="1" customWidth="1"/>
    <col min="7" max="7" width="10.5546875" bestFit="1" customWidth="1"/>
  </cols>
  <sheetData>
    <row r="4" spans="2:7" x14ac:dyDescent="0.3">
      <c r="B4" s="4" t="s">
        <v>29</v>
      </c>
      <c r="C4" s="4" t="s">
        <v>31</v>
      </c>
    </row>
    <row r="5" spans="2:7" x14ac:dyDescent="0.3">
      <c r="B5" s="4" t="s">
        <v>27</v>
      </c>
      <c r="C5" t="s">
        <v>24</v>
      </c>
      <c r="D5" t="s">
        <v>18</v>
      </c>
      <c r="E5" t="s">
        <v>12</v>
      </c>
      <c r="F5" t="s">
        <v>35</v>
      </c>
      <c r="G5" t="s">
        <v>28</v>
      </c>
    </row>
    <row r="6" spans="2:7" x14ac:dyDescent="0.3">
      <c r="B6" s="5" t="s">
        <v>20</v>
      </c>
      <c r="C6" s="6">
        <v>1668.31</v>
      </c>
      <c r="D6" s="6">
        <v>2790.88</v>
      </c>
      <c r="E6" s="6">
        <v>3796.46</v>
      </c>
      <c r="F6" s="6">
        <v>6587.34</v>
      </c>
      <c r="G6" s="6">
        <v>14842.990000000002</v>
      </c>
    </row>
    <row r="7" spans="2:7" x14ac:dyDescent="0.3">
      <c r="B7" s="5" t="s">
        <v>10</v>
      </c>
      <c r="C7" s="6">
        <v>3779.4</v>
      </c>
      <c r="D7" s="6">
        <v>3567.75</v>
      </c>
      <c r="E7" s="6">
        <v>3735.22</v>
      </c>
      <c r="F7" s="6">
        <v>7302.9699999999993</v>
      </c>
      <c r="G7" s="6">
        <v>18385.339999999997</v>
      </c>
    </row>
    <row r="8" spans="2:7" x14ac:dyDescent="0.3">
      <c r="B8" s="5" t="s">
        <v>14</v>
      </c>
      <c r="C8" s="6">
        <v>370.7</v>
      </c>
      <c r="D8" s="6">
        <v>7475.37</v>
      </c>
      <c r="E8" s="6">
        <v>5729.05</v>
      </c>
      <c r="F8" s="6">
        <v>13204.42</v>
      </c>
      <c r="G8" s="6">
        <v>26779.54</v>
      </c>
    </row>
    <row r="9" spans="2:7" x14ac:dyDescent="0.3">
      <c r="B9" s="5" t="s">
        <v>22</v>
      </c>
      <c r="C9" s="6">
        <v>3316.01</v>
      </c>
      <c r="D9" s="6">
        <v>3267.05</v>
      </c>
      <c r="E9" s="6">
        <v>4516.33</v>
      </c>
      <c r="F9" s="6">
        <v>7783.38</v>
      </c>
      <c r="G9" s="6">
        <v>18882.77</v>
      </c>
    </row>
    <row r="10" spans="2:7" x14ac:dyDescent="0.3">
      <c r="B10" s="5" t="s">
        <v>34</v>
      </c>
      <c r="C10" s="6">
        <v>135.6</v>
      </c>
      <c r="D10" s="6"/>
      <c r="E10" s="6">
        <v>65.52</v>
      </c>
      <c r="F10" s="6">
        <v>65.52</v>
      </c>
      <c r="G10" s="6">
        <v>266.64</v>
      </c>
    </row>
    <row r="11" spans="2:7" x14ac:dyDescent="0.3">
      <c r="B11" s="5" t="s">
        <v>28</v>
      </c>
      <c r="C11" s="6">
        <v>9270.02</v>
      </c>
      <c r="D11" s="6">
        <v>17101.05</v>
      </c>
      <c r="E11" s="6">
        <v>17842.579999999998</v>
      </c>
      <c r="F11" s="6">
        <v>34943.629999999997</v>
      </c>
      <c r="G11" s="6">
        <v>79157.279999999999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1F20-CCE4-4125-86C1-4A03D5915001}">
  <dimension ref="B4:D37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4" t="s">
        <v>0</v>
      </c>
      <c r="C4" s="4" t="s">
        <v>1</v>
      </c>
      <c r="D4" t="s">
        <v>32</v>
      </c>
    </row>
    <row r="5" spans="2:4" x14ac:dyDescent="0.3">
      <c r="B5" t="s">
        <v>20</v>
      </c>
      <c r="C5" t="s">
        <v>25</v>
      </c>
      <c r="D5" s="6">
        <v>57</v>
      </c>
    </row>
    <row r="6" spans="2:4" x14ac:dyDescent="0.3">
      <c r="C6" t="s">
        <v>15</v>
      </c>
      <c r="D6" s="6">
        <v>65</v>
      </c>
    </row>
    <row r="7" spans="2:4" x14ac:dyDescent="0.3">
      <c r="C7" t="s">
        <v>21</v>
      </c>
      <c r="D7" s="6">
        <v>100</v>
      </c>
    </row>
    <row r="8" spans="2:4" x14ac:dyDescent="0.3">
      <c r="C8" t="s">
        <v>3</v>
      </c>
      <c r="D8" s="6">
        <v>10</v>
      </c>
    </row>
    <row r="9" spans="2:4" x14ac:dyDescent="0.3">
      <c r="C9" t="s">
        <v>16</v>
      </c>
      <c r="D9" s="6">
        <v>32</v>
      </c>
    </row>
    <row r="10" spans="2:4" x14ac:dyDescent="0.3">
      <c r="C10" t="s">
        <v>30</v>
      </c>
      <c r="D10" s="6">
        <v>65</v>
      </c>
    </row>
    <row r="11" spans="2:4" x14ac:dyDescent="0.3">
      <c r="B11" t="s">
        <v>36</v>
      </c>
      <c r="D11" s="6">
        <v>329</v>
      </c>
    </row>
    <row r="12" spans="2:4" x14ac:dyDescent="0.3">
      <c r="B12" t="s">
        <v>10</v>
      </c>
      <c r="C12" t="s">
        <v>25</v>
      </c>
      <c r="D12" s="6">
        <v>21</v>
      </c>
    </row>
    <row r="13" spans="2:4" x14ac:dyDescent="0.3">
      <c r="C13" t="s">
        <v>15</v>
      </c>
      <c r="D13" s="6">
        <v>49</v>
      </c>
    </row>
    <row r="14" spans="2:4" x14ac:dyDescent="0.3">
      <c r="C14" t="s">
        <v>21</v>
      </c>
      <c r="D14" s="6">
        <v>40</v>
      </c>
    </row>
    <row r="15" spans="2:4" x14ac:dyDescent="0.3">
      <c r="C15" t="s">
        <v>3</v>
      </c>
      <c r="D15" s="6">
        <v>89</v>
      </c>
    </row>
    <row r="16" spans="2:4" x14ac:dyDescent="0.3">
      <c r="C16" t="s">
        <v>16</v>
      </c>
      <c r="D16" s="6">
        <v>99</v>
      </c>
    </row>
    <row r="17" spans="2:4" x14ac:dyDescent="0.3">
      <c r="C17" t="s">
        <v>26</v>
      </c>
      <c r="D17" s="6">
        <v>46</v>
      </c>
    </row>
    <row r="18" spans="2:4" x14ac:dyDescent="0.3">
      <c r="C18" t="s">
        <v>30</v>
      </c>
      <c r="D18" s="6">
        <v>95</v>
      </c>
    </row>
    <row r="19" spans="2:4" x14ac:dyDescent="0.3">
      <c r="B19" t="s">
        <v>37</v>
      </c>
      <c r="D19" s="6">
        <v>439</v>
      </c>
    </row>
    <row r="20" spans="2:4" x14ac:dyDescent="0.3">
      <c r="B20" t="s">
        <v>14</v>
      </c>
      <c r="C20" t="s">
        <v>25</v>
      </c>
      <c r="D20" s="6">
        <v>117</v>
      </c>
    </row>
    <row r="21" spans="2:4" x14ac:dyDescent="0.3">
      <c r="C21" t="s">
        <v>15</v>
      </c>
      <c r="D21" s="6">
        <v>91</v>
      </c>
    </row>
    <row r="22" spans="2:4" x14ac:dyDescent="0.3">
      <c r="C22" t="s">
        <v>3</v>
      </c>
      <c r="D22" s="6">
        <v>94</v>
      </c>
    </row>
    <row r="23" spans="2:4" x14ac:dyDescent="0.3">
      <c r="C23" t="s">
        <v>16</v>
      </c>
      <c r="D23" s="6">
        <v>35</v>
      </c>
    </row>
    <row r="24" spans="2:4" x14ac:dyDescent="0.3">
      <c r="C24" t="s">
        <v>26</v>
      </c>
      <c r="D24" s="6">
        <v>5</v>
      </c>
    </row>
    <row r="25" spans="2:4" x14ac:dyDescent="0.3">
      <c r="C25" t="s">
        <v>30</v>
      </c>
      <c r="D25" s="6">
        <v>96</v>
      </c>
    </row>
    <row r="26" spans="2:4" x14ac:dyDescent="0.3">
      <c r="B26" t="s">
        <v>38</v>
      </c>
      <c r="D26" s="6">
        <v>438</v>
      </c>
    </row>
    <row r="27" spans="2:4" x14ac:dyDescent="0.3">
      <c r="B27" t="s">
        <v>22</v>
      </c>
      <c r="C27" t="s">
        <v>15</v>
      </c>
      <c r="D27" s="6">
        <v>48</v>
      </c>
    </row>
    <row r="28" spans="2:4" x14ac:dyDescent="0.3">
      <c r="C28" t="s">
        <v>21</v>
      </c>
      <c r="D28" s="6">
        <v>96</v>
      </c>
    </row>
    <row r="29" spans="2:4" x14ac:dyDescent="0.3">
      <c r="C29" t="s">
        <v>3</v>
      </c>
      <c r="D29" s="6">
        <v>35</v>
      </c>
    </row>
    <row r="30" spans="2:4" x14ac:dyDescent="0.3">
      <c r="C30" t="s">
        <v>16</v>
      </c>
      <c r="D30" s="6">
        <v>36</v>
      </c>
    </row>
    <row r="31" spans="2:4" x14ac:dyDescent="0.3">
      <c r="C31" t="s">
        <v>26</v>
      </c>
      <c r="D31" s="6">
        <v>90</v>
      </c>
    </row>
    <row r="32" spans="2:4" x14ac:dyDescent="0.3">
      <c r="C32" t="s">
        <v>30</v>
      </c>
      <c r="D32" s="6">
        <v>138</v>
      </c>
    </row>
    <row r="33" spans="2:4" x14ac:dyDescent="0.3">
      <c r="B33" t="s">
        <v>39</v>
      </c>
      <c r="D33" s="6">
        <v>443</v>
      </c>
    </row>
    <row r="34" spans="2:4" x14ac:dyDescent="0.3">
      <c r="B34" t="s">
        <v>34</v>
      </c>
      <c r="C34" t="s">
        <v>26</v>
      </c>
      <c r="D34" s="6">
        <v>5</v>
      </c>
    </row>
    <row r="35" spans="2:4" x14ac:dyDescent="0.3">
      <c r="C35" t="s">
        <v>30</v>
      </c>
      <c r="D35" s="6">
        <v>5</v>
      </c>
    </row>
    <row r="36" spans="2:4" x14ac:dyDescent="0.3">
      <c r="B36" t="s">
        <v>40</v>
      </c>
      <c r="D36" s="6">
        <v>10</v>
      </c>
    </row>
    <row r="37" spans="2:4" x14ac:dyDescent="0.3">
      <c r="B37" t="s">
        <v>28</v>
      </c>
      <c r="D37" s="6">
        <v>1659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2026-10-11T21:18:11Z</dcterms:created>
  <dcterms:modified xsi:type="dcterms:W3CDTF">2026-10-11T21:18:37Z</dcterms:modified>
</cp:coreProperties>
</file>