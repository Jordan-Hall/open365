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D652E9C-10E2-45A2-8AA8-C0D5E74CFC65}" xr6:coauthVersionLast="47" xr6:coauthVersionMax="47" xr10:uidLastSave="{00000000-0000-0000-0000-000000000000}"/>
  <bookViews>
    <workbookView xWindow="0" yWindow="0" windowWidth="19200" windowHeight="12000" xr2:uid="{E72BBD9B-2767-4015-9C03-B2989E88987D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</sheets>
  <calcPr calcId="191029"/>
  <pivotCaches>
    <pivotCache cacheId="3" r:id="rId7"/>
    <pivotCache cacheId="9" r:id="rId8"/>
    <pivotCache cacheId="14" r:id="rId9"/>
    <pivotCache cacheId="19" r:id="rId10"/>
    <pivotCache cacheId="2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<sst xmlns="http://schemas.openxmlformats.org/spreadsheetml/2006/main" count="421" uniqueCount="42">
  <si>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</si>
  <si>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</si>
  <si>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</si>
  <si>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</si>
  <si>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</si>
  <si>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</si>
  <si>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</si>
  <si>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</si>
  <si>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</si>
  <si>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</si>
  <si>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</si>
  <si>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</si>
  <si>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</si>
  <si>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</si>
  <si>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</si>
  <si>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</si>
  <si>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</si>
  <si>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</si>
  <si>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</si>
  <si>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</si>
  <si>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</si>
  <si>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</si>
  <si>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</si>
  <si>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</si>
  <si>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</si>
  <si>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</si>
  <si>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</si>
  <si>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</si>
  <si>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</si>
  <si>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</si>
  <si>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</si>
  <si>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</si>
  <si>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</si>
  <si>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</si>
  <si>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</si>
  <si>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</si>
  <si>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</si>
  <si>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</si>
  <si>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</si>
  <si>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</si>
  <si>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</si>
  <si>
    <t>Max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</si>
</sst>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rgb="FF0000FF"/>
      </left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/>
      <bottom/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/>
      <top/>
      <bottom style="medium">
        <color rgb="FF00FF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FF0000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FF00"/>
      </left>
      <right style="thin">
        <color rgb="FF0000FF"/>
      </right>
      <top/>
      <bottom style="thin">
        <color rgb="FF00FF00"/>
      </bottom>
      <diagonal/>
    </border>
    <border>
      <left/>
      <right style="thin">
        <color rgb="FF0000FF"/>
      </right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Alignment="1">
      <alignment horizontal="left" indent="1"/>
    </xf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2" borderId="11" xfId="0" applyFill="1" applyBorder="1" applyAlignment="1">
      <alignment horizontal="left" indent="1"/>
    </xf>
    <xf numFmtId="0" fontId="0" fillId="0" borderId="12" xfId="0" pivotButton="1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0" fillId="0" borderId="17" xfId="0" applyBorder="1" applyAlignment="1">
      <alignment horizontal="left"/>
    </xf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3" borderId="23" xfId="0" applyFill="1" applyBorder="1"/>
    <xf numFmtId="0" fontId="0" fillId="0" borderId="24" xfId="0" applyBorder="1"/>
    <xf numFmtId="0" fontId="0" fillId="0" borderId="0" xfId="0" pivotButton="1" applyBorder="1"/>
    <xf numFmtId="0" fontId="0" fillId="0" borderId="0" xfId="0" applyBorder="1"/>
    <xf numFmtId="0" fontId="0" fillId="0" borderId="25" xfId="0" pivotButton="1" applyBorder="1"/>
    <xf numFmtId="0" fontId="0" fillId="0" borderId="25" xfId="0" applyBorder="1"/>
    <xf numFmtId="0" fontId="1" fillId="0" borderId="7" xfId="0" applyFont="1" applyBorder="1"/>
  </cellXfs>
  <cellStyles count="1">
    <cellStyle name="Normal" xfId="0" builtinId="0"/>
  </cellStyles>
  <dxfs count="73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n">
          <color rgb="FFFF0000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rgb="FF00FF00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right style="thin">
          <color rgb="FF00FF00"/>
        </right>
      </border>
    </dxf>
    <dxf>
      <border>
        <bottom style="thin">
          <color rgb="FF00FF00"/>
        </bottom>
      </border>
    </dxf>
    <dxf>
      <border>
        <top style="thin">
          <color rgb="FF00FF00"/>
        </top>
      </border>
    </dxf>
    <dxf>
      <border>
        <left style="thin">
          <color rgb="FF00FF00"/>
        </left>
      </border>
    </dxf>
    <dxf>
      <border>
        <right style="thin">
          <color rgb="FF0000FF"/>
        </right>
      </border>
    </dxf>
    <dxf>
      <border>
        <left style="thin">
          <color rgb="FF0000FF"/>
        </left>
      </border>
    </dxf>
    <dxf>
      <border>
        <bottom style="thick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872916669" createdVersion="8" refreshedVersion="8" minRefreshableVersion="3" recordCount="60" xr:uid="{3527178F-CCC3-4FC4-AFD2-1044B4B193FC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885532408" createdVersion="8" refreshedVersion="8" minRefreshableVersion="3" recordCount="60" xr:uid="{42A60FB9-647A-4EEA-826F-7AC282D1F96D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889351849" createdVersion="8" refreshedVersion="8" minRefreshableVersion="3" recordCount="60" xr:uid="{F1D9056F-69B5-407B-8501-9702BB50C00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89097222" createdVersion="8" refreshedVersion="8" minRefreshableVersion="3" recordCount="60" xr:uid="{E19619E6-0113-4F2A-AD52-7DCFCD2E8879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789467593" createdVersion="8" refreshedVersion="8" minRefreshableVersion="3" recordCount="60" xr:uid="{1CCD8CB7-65A3-453A-9E25-B89AAA6EC0A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x v="0"/>
  </r>
  <r>
    <x v="1"/>
    <s v="Banana"/>
    <s v="Partner"/>
    <d v="2024-08-29T00:00:00"/>
    <n v="44"/>
    <n v="34.36"/>
    <n v="1511.84"/>
    <n v="64"/>
    <x v="0"/>
    <x v="0"/>
  </r>
  <r>
    <x v="0"/>
    <s v="Fig"/>
    <s v="Retail"/>
    <d v="2025-11-30T00:00:00"/>
    <n v="39"/>
    <n v="48.38"/>
    <n v="1886.82"/>
    <n v="62"/>
    <x v="1"/>
    <x v="0"/>
  </r>
  <r>
    <x v="1"/>
    <s v="Banana"/>
    <s v="Retail"/>
    <d v="2024-07-02T00:00:00"/>
    <n v="1"/>
    <n v="2.92"/>
    <n v="2.92"/>
    <n v="83"/>
    <x v="0"/>
    <x v="1"/>
  </r>
  <r>
    <x v="2"/>
    <s v="Cherry"/>
    <s v="Retail"/>
    <d v="2025-03-19T00:00:00"/>
    <m/>
    <n v="32.409999999999997"/>
    <m/>
    <n v="28"/>
    <x v="0"/>
    <x v="1"/>
  </r>
  <r>
    <x v="0"/>
    <s v="Date"/>
    <s v="Retail"/>
    <d v="2025-09-04T00:00:00"/>
    <n v="13"/>
    <n v="20.37"/>
    <n v="264.81"/>
    <n v="2"/>
    <x v="1"/>
    <x v="0"/>
  </r>
  <r>
    <x v="3"/>
    <s v="Cherry"/>
    <s v="Online"/>
    <d v="2025-07-10T00:00:00"/>
    <n v="32"/>
    <n v="33.880000000000003"/>
    <n v="1084.1600000000001"/>
    <n v="67"/>
    <x v="0"/>
    <x v="1"/>
  </r>
  <r>
    <x v="2"/>
    <s v="Cherry"/>
    <s v="Online"/>
    <d v="2025-01-14T00:00:00"/>
    <n v="14"/>
    <n v="76.569999999999993"/>
    <n v="1071.98"/>
    <n v="89"/>
    <x v="0"/>
    <x v="0"/>
  </r>
  <r>
    <x v="0"/>
    <s v="Banana"/>
    <s v="Online"/>
    <d v="2025-01-12T00:00:00"/>
    <n v="1"/>
    <n v="11"/>
    <n v="11"/>
    <n v="80"/>
    <x v="2"/>
    <x v="0"/>
  </r>
  <r>
    <x v="3"/>
    <s v="Cherry"/>
    <s v="Online"/>
    <d v="2024-08-25T00:00:00"/>
    <n v="14"/>
    <n v="86.44"/>
    <n v="1210.1600000000001"/>
    <n v="59"/>
    <x v="1"/>
    <x v="0"/>
  </r>
  <r>
    <x v="1"/>
    <s v="Fig"/>
    <s v="Retail"/>
    <d v="2025-12-25T00:00:00"/>
    <n v="2"/>
    <n v="63.65"/>
    <n v="127.3"/>
    <n v="98"/>
    <x v="0"/>
    <x v="0"/>
  </r>
  <r>
    <x v="0"/>
    <s v="apple"/>
    <s v="Online"/>
    <d v="2024-03-29T00:00:00"/>
    <n v="21"/>
    <n v="23.89"/>
    <n v="501.69"/>
    <n v="10"/>
    <x v="2"/>
    <x v="1"/>
  </r>
  <r>
    <x v="1"/>
    <s v="Date"/>
    <s v="Retail"/>
    <d v="2025-08-14T00:00:00"/>
    <n v="15"/>
    <n v="26.93"/>
    <n v="403.95"/>
    <n v="64"/>
    <x v="1"/>
    <x v="1"/>
  </r>
  <r>
    <x v="2"/>
    <s v="Banana"/>
    <s v="Online"/>
    <d v="2024-04-14T00:00:00"/>
    <n v="27"/>
    <n v="27.04"/>
    <n v="730.08"/>
    <n v="24"/>
    <x v="2"/>
    <x v="0"/>
  </r>
  <r>
    <x v="0"/>
    <s v="Fig"/>
    <s v="Partner"/>
    <d v="2025-09-05T00:00:00"/>
    <m/>
    <n v="92.45"/>
    <m/>
    <n v="3"/>
    <x v="1"/>
    <x v="0"/>
  </r>
  <r>
    <x v="2"/>
    <s v="apple"/>
    <s v="Online"/>
    <d v="2024-06-02T00:00:00"/>
    <n v="28"/>
    <n v="13.87"/>
    <n v="388.36"/>
    <n v="91"/>
    <x v="1"/>
    <x v="0"/>
  </r>
  <r>
    <x v="3"/>
    <s v="Cherry"/>
    <s v="Retail"/>
    <d v="2025-10-22T00:00:00"/>
    <n v="22"/>
    <n v="81.3"/>
    <n v="1788.6"/>
    <n v="16"/>
    <x v="1"/>
    <x v="0"/>
  </r>
  <r>
    <x v="4"/>
    <s v="Walnut"/>
    <s v="Online"/>
    <d v="2024-02-04T00:00:00"/>
    <n v="2"/>
    <n v="67.8"/>
    <n v="135.6"/>
    <n v="15"/>
    <x v="2"/>
    <x v="1"/>
  </r>
  <r>
    <x v="3"/>
    <s v="Fig"/>
    <s v="Partner"/>
    <d v="2025-09-14T00:00:00"/>
    <n v="7"/>
    <n v="28.28"/>
    <n v="197.96"/>
    <n v="11"/>
    <x v="2"/>
    <x v="1"/>
  </r>
  <r>
    <x v="1"/>
    <s v="Walnut"/>
    <s v="Online"/>
    <d v="2025-11-16T00:00:00"/>
    <n v="5"/>
    <n v="74.14"/>
    <n v="370.7"/>
    <n v="79"/>
    <x v="2"/>
    <x v="0"/>
  </r>
  <r>
    <x v="1"/>
    <s v="Date"/>
    <s v="Online"/>
    <d v="2024-07-31T00:00:00"/>
    <n v="47"/>
    <n v="66.5"/>
    <n v="3125.5"/>
    <n v="57"/>
    <x v="1"/>
    <x v="0"/>
  </r>
  <r>
    <x v="3"/>
    <s v="Walnut"/>
    <s v="Online"/>
    <d v="2025-04-20T00:00:00"/>
    <n v="11"/>
    <n v="24.39"/>
    <n v="268.29000000000002"/>
    <n v="81"/>
    <x v="1"/>
    <x v="1"/>
  </r>
  <r>
    <x v="1"/>
    <s v="apple"/>
    <s v="Online"/>
    <d v="2024-10-28T00:00:00"/>
    <n v="28"/>
    <n v="21.64"/>
    <n v="605.91999999999996"/>
    <n v="92"/>
    <x v="0"/>
    <x v="0"/>
  </r>
  <r>
    <x v="3"/>
    <s v="Walnut"/>
    <s v="Retail"/>
    <d v="2024-12-01T00:00:00"/>
    <n v="47"/>
    <n v="21.61"/>
    <n v="1015.67"/>
    <n v="56"/>
    <x v="0"/>
    <x v="0"/>
  </r>
  <r>
    <x v="2"/>
    <s v="Date"/>
    <s v="Online"/>
    <d v="2025-07-30T00:00:00"/>
    <n v="10"/>
    <n v="3.96"/>
    <n v="39.6"/>
    <n v="0"/>
    <x v="1"/>
    <x v="1"/>
  </r>
  <r>
    <x v="4"/>
    <s v="Walnut"/>
    <s v="Retail"/>
    <d v="2024-02-10T00:00:00"/>
    <n v="3"/>
    <n v="21.84"/>
    <n v="65.52"/>
    <n v="78"/>
    <x v="0"/>
    <x v="0"/>
  </r>
  <r>
    <x v="2"/>
    <s v="apple"/>
    <s v="Online"/>
    <d v="2024-03-09T00:00:00"/>
    <n v="29"/>
    <n v="81.48"/>
    <n v="2362.92"/>
    <n v="95"/>
    <x v="1"/>
    <x v="0"/>
  </r>
  <r>
    <x v="3"/>
    <s v="Date"/>
    <s v="Retail"/>
    <d v="2025-02-28T00:00:00"/>
    <n v="12"/>
    <n v="20.94"/>
    <n v="251.28"/>
    <n v="35"/>
    <x v="2"/>
    <x v="1"/>
  </r>
  <r>
    <x v="0"/>
    <s v="Walnut"/>
    <s v="Partner"/>
    <d v="2024-06-03T00:00:00"/>
    <m/>
    <n v="1.82"/>
    <m/>
    <n v="39"/>
    <x v="0"/>
    <x v="1"/>
  </r>
  <r>
    <x v="2"/>
    <s v="Banana"/>
    <s v="Retail"/>
    <d v="2024-03-15T00:00:00"/>
    <n v="3"/>
    <n v="83.26"/>
    <n v="249.78"/>
    <n v="93"/>
    <x v="2"/>
    <x v="1"/>
  </r>
  <r>
    <x v="3"/>
    <s v="Cherry"/>
    <s v="Online"/>
    <d v="2024-10-26T00:00:00"/>
    <n v="7"/>
    <n v="23.09"/>
    <n v="161.63"/>
    <n v="13"/>
    <x v="2"/>
    <x v="0"/>
  </r>
  <r>
    <x v="0"/>
    <s v="Date"/>
    <s v="Partner"/>
    <d v="2024-06-01T00:00:00"/>
    <n v="17"/>
    <n v="30.34"/>
    <n v="515.78"/>
    <n v="20"/>
    <x v="1"/>
    <x v="1"/>
  </r>
  <r>
    <x v="0"/>
    <s v="Banana"/>
    <s v="Retail"/>
    <d v="2024-10-08T00:00:00"/>
    <n v="33"/>
    <n v="21.62"/>
    <n v="713.46"/>
    <n v="71"/>
    <x v="2"/>
    <x v="1"/>
  </r>
  <r>
    <x v="3"/>
    <s v="Date"/>
    <s v="Retail"/>
    <d v="2025-04-23T00:00:00"/>
    <n v="8"/>
    <n v="74.23"/>
    <n v="593.84"/>
    <n v="54"/>
    <x v="0"/>
    <x v="1"/>
  </r>
  <r>
    <x v="0"/>
    <s v="Cherry"/>
    <s v="Partner"/>
    <d v="2024-12-22T00:00:00"/>
    <n v="40"/>
    <n v="29.81"/>
    <n v="1192.4000000000001"/>
    <n v="18"/>
    <x v="2"/>
    <x v="1"/>
  </r>
  <r>
    <x v="0"/>
    <s v="Fig"/>
    <s v="Online"/>
    <d v="2025-05-02T00:00:00"/>
    <n v="17"/>
    <n v="80.05"/>
    <n v="1360.85"/>
    <n v="73"/>
    <x v="2"/>
    <x v="1"/>
  </r>
  <r>
    <x v="3"/>
    <s v="Date"/>
    <s v="Online"/>
    <d v="2024-07-05T00:00:00"/>
    <n v="15"/>
    <n v="44.13"/>
    <n v="661.95"/>
    <n v="85"/>
    <x v="0"/>
    <x v="1"/>
  </r>
  <r>
    <x v="3"/>
    <s v="Cherry"/>
    <s v="Retail"/>
    <d v="2024-07-07T00:00:00"/>
    <n v="9"/>
    <n v="39.26"/>
    <n v="353.34"/>
    <n v="91"/>
    <x v="2"/>
    <x v="1"/>
  </r>
  <r>
    <x v="3"/>
    <s v="Fig"/>
    <s v="Retail"/>
    <d v="2025-07-31T00:00:00"/>
    <n v="29"/>
    <n v="47.74"/>
    <n v="1384.46"/>
    <n v="20"/>
    <x v="2"/>
    <x v="0"/>
  </r>
  <r>
    <x v="1"/>
    <s v="Date"/>
    <s v="Retail"/>
    <d v="2025-06-06T00:00:00"/>
    <n v="15"/>
    <n v="32.29"/>
    <n v="484.35"/>
    <n v="43"/>
    <x v="1"/>
    <x v="0"/>
  </r>
  <r>
    <x v="1"/>
    <s v="Banana"/>
    <s v="Partner"/>
    <d v="2025-02-14T00:00:00"/>
    <n v="46"/>
    <n v="51.14"/>
    <n v="2352.44"/>
    <n v="85"/>
    <x v="1"/>
    <x v="1"/>
  </r>
  <r>
    <x v="2"/>
    <s v="Banana"/>
    <s v="Online"/>
    <d v="2025-02-17T00:00:00"/>
    <n v="35"/>
    <n v="19.670000000000002"/>
    <n v="688.45"/>
    <n v="83"/>
    <x v="2"/>
    <x v="1"/>
  </r>
  <r>
    <x v="0"/>
    <s v="Banana"/>
    <s v="Retail"/>
    <d v="2024-05-11T00:00:00"/>
    <n v="15"/>
    <n v="6.14"/>
    <n v="92.1"/>
    <n v="89"/>
    <x v="1"/>
    <x v="1"/>
  </r>
  <r>
    <x v="0"/>
    <s v="Walnut"/>
    <s v="Partner"/>
    <d v="2025-01-25T00:00:00"/>
    <n v="9"/>
    <n v="44.09"/>
    <n v="396.81"/>
    <n v="19"/>
    <x v="0"/>
    <x v="1"/>
  </r>
  <r>
    <x v="0"/>
    <s v="Walnut"/>
    <s v="Partner"/>
    <d v="2024-10-18T00:00:00"/>
    <n v="37"/>
    <n v="17.29"/>
    <n v="639.73"/>
    <n v="54"/>
    <x v="0"/>
    <x v="0"/>
  </r>
  <r>
    <x v="0"/>
    <s v="Date"/>
    <s v="Online"/>
    <d v="2025-04-26T00:00:00"/>
    <n v="23"/>
    <n v="62.63"/>
    <n v="1440.49"/>
    <n v="13"/>
    <x v="0"/>
    <x v="0"/>
  </r>
  <r>
    <x v="1"/>
    <s v="apple"/>
    <s v="Online"/>
    <d v="2024-09-18T00:00:00"/>
    <n v="28"/>
    <n v="14.27"/>
    <n v="399.56"/>
    <n v="89"/>
    <x v="0"/>
    <x v="0"/>
  </r>
  <r>
    <x v="0"/>
    <s v="Fig"/>
    <s v="Partner"/>
    <d v="2024-09-22T00:00:00"/>
    <n v="12"/>
    <n v="40.4"/>
    <n v="484.8"/>
    <n v="94"/>
    <x v="1"/>
    <x v="0"/>
  </r>
  <r>
    <x v="0"/>
    <s v="Fig"/>
    <s v="Partner"/>
    <d v="2024-09-02T00:00:00"/>
    <n v="23"/>
    <n v="1.03"/>
    <n v="23.69"/>
    <n v="2"/>
    <x v="0"/>
    <x v="0"/>
  </r>
  <r>
    <x v="1"/>
    <s v="Date"/>
    <s v="Partner"/>
    <d v="2025-10-02T00:00:00"/>
    <n v="17"/>
    <n v="42.27"/>
    <n v="718.59"/>
    <n v="55"/>
    <x v="0"/>
    <x v="0"/>
  </r>
  <r>
    <x v="1"/>
    <s v="apple"/>
    <s v="Online"/>
    <d v="2024-04-20T00:00:00"/>
    <n v="41"/>
    <n v="18.79"/>
    <n v="770.39"/>
    <n v="37"/>
    <x v="0"/>
    <x v="1"/>
  </r>
  <r>
    <x v="1"/>
    <s v="Fig"/>
    <s v="Online"/>
    <d v="2025-02-25T00:00:00"/>
    <n v="33"/>
    <n v="33.61"/>
    <n v="1109.1300000000001"/>
    <n v="12"/>
    <x v="1"/>
    <x v="0"/>
  </r>
  <r>
    <x v="2"/>
    <s v="Fig"/>
    <s v="Retail"/>
    <d v="2025-03-09T00:00:00"/>
    <n v="32"/>
    <n v="85.14"/>
    <n v="2724.48"/>
    <n v="80"/>
    <x v="0"/>
    <x v="1"/>
  </r>
  <r>
    <x v="1"/>
    <s v="apple"/>
    <s v="Partner"/>
    <d v="2025-12-07T00:00:00"/>
    <n v="20"/>
    <n v="74.81"/>
    <n v="1496.2"/>
    <n v="21"/>
    <x v="0"/>
    <x v="0"/>
  </r>
  <r>
    <x v="3"/>
    <s v="Walnut"/>
    <s v="Partner"/>
    <d v="2024-03-08T00:00:00"/>
    <n v="13"/>
    <n v="3.74"/>
    <n v="48.62"/>
    <n v="50"/>
    <x v="2"/>
    <x v="1"/>
  </r>
  <r>
    <x v="0"/>
    <s v="Fig"/>
    <s v="Online"/>
    <d v="2025-04-17T00:00:00"/>
    <n v="8"/>
    <n v="40.43"/>
    <n v="323.44"/>
    <n v="88"/>
    <x v="1"/>
    <x v="0"/>
  </r>
  <r>
    <x v="3"/>
    <s v="Cherry"/>
    <s v="Retail"/>
    <d v="2024-01-01T00:00:00"/>
    <n v="12"/>
    <n v="27.48"/>
    <n v="329.76"/>
    <n v="78"/>
    <x v="2"/>
    <x v="0"/>
  </r>
  <r>
    <x v="3"/>
    <s v="Banana"/>
    <s v="Partner"/>
    <d v="2024-05-20T00:00:00"/>
    <n v="48"/>
    <n v="12.27"/>
    <n v="588.96"/>
    <n v="52"/>
    <x v="2"/>
    <x v="1"/>
  </r>
  <r>
    <x v="3"/>
    <s v="Walnut"/>
    <s v="Partner"/>
    <d v="2024-05-27T00:00:00"/>
    <n v="19"/>
    <n v="61.09"/>
    <n v="1160.71"/>
    <n v="63"/>
    <x v="0"/>
    <x v="1"/>
  </r>
  <r>
    <x v="3"/>
    <s v="Banana"/>
    <s v="Retail"/>
    <d v="2024-01-06T00:00:00"/>
    <m/>
    <n v="60.13"/>
    <m/>
    <n v="1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96480-2EAA-4023-97C1-1787AFA7C281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formats count="8">
    <format dxfId="72">
      <pivotArea dataOnly="0" labelOnly="1" fieldPosition="0">
        <references count="1">
          <reference field="0" count="1">
            <x v="3"/>
          </reference>
        </references>
      </pivotArea>
    </format>
    <format dxfId="71">
      <pivotArea dataOnly="0" labelOnly="1" fieldPosition="0">
        <references count="1">
          <reference field="0" count="1">
            <x v="1"/>
          </reference>
        </references>
      </pivotArea>
    </format>
    <format dxfId="70">
      <pivotArea dataOnly="0" labelOnly="1" fieldPosition="0">
        <references count="1">
          <reference field="0" count="1">
            <x v="1"/>
          </reference>
        </references>
      </pivotArea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16AE7-668A-4DB9-A5B9-97CDAEC6F0E8}" name="PT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formats count="14">
    <format dxfId="64">
      <pivotArea collapsedLevelsAreSubtotals="1" fieldPosition="0">
        <references count="2">
          <reference field="0" count="1">
            <x v="0"/>
          </reference>
          <reference field="2" count="0" selected="0"/>
        </references>
      </pivotArea>
    </format>
    <format dxfId="63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62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61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60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9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8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7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6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5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4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3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2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1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C2EB5-612B-4145-B9BC-74EFA7DBE92D}" name="PT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formats count="7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collapsedLevelsAreSubtotals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FE367-51A6-4441-9547-2F0CFF1A87DC}" name="PT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formats count="31">
    <format dxfId="43">
      <pivotArea outline="0" fieldPosition="0">
        <references count="2">
          <reference field="1" count="1" selected="0">
            <x v="4"/>
          </reference>
          <reference field="8" count="0" selected="0"/>
        </references>
      </pivotArea>
    </format>
    <format dxfId="42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24">
      <pivotArea dataOnly="0" labelOnly="1" outline="0" offset="IV256" fieldPosition="0">
        <references count="1">
          <reference field="1" count="1" defaultSubtotal="1">
            <x v="0"/>
          </reference>
        </references>
      </pivotArea>
    </format>
    <format dxfId="23">
      <pivotArea dataOnly="0" labelOnly="1" outline="0" offset="IV256" fieldPosition="0">
        <references count="1">
          <reference field="1" count="1" defaultSubtotal="1">
            <x v="1"/>
          </reference>
        </references>
      </pivotArea>
    </format>
    <format dxfId="22">
      <pivotArea dataOnly="0" labelOnly="1" outline="0" offset="IV256" fieldPosition="0">
        <references count="1">
          <reference field="1" count="1" defaultSubtotal="1">
            <x v="2"/>
          </reference>
        </references>
      </pivotArea>
    </format>
    <format dxfId="21">
      <pivotArea dataOnly="0" labelOnly="1" outline="0" offset="IV256" fieldPosition="0">
        <references count="1">
          <reference field="1" count="1" defaultSubtotal="1">
            <x v="3"/>
          </reference>
        </references>
      </pivotArea>
    </format>
    <format dxfId="20">
      <pivotArea dataOnly="0" labelOnly="1" outline="0" offset="IV256" fieldPosition="0">
        <references count="1">
          <reference field="1" count="1" defaultSubtotal="1">
            <x v="4"/>
          </reference>
        </references>
      </pivotArea>
    </format>
    <format dxfId="19">
      <pivotArea dataOnly="0" labelOnly="1" outline="0" offset="IV256" fieldPosition="0">
        <references count="1">
          <reference field="1" count="1" defaultSubtotal="1">
            <x v="5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0"/>
          </reference>
          <reference field="8" count="0"/>
        </references>
      </pivotArea>
    </format>
    <format dxfId="17">
      <pivotArea dataOnly="0" labelOnly="1" outline="0" fieldPosition="0">
        <references count="2">
          <reference field="1" count="1" selected="0">
            <x v="1"/>
          </reference>
          <reference field="8" count="0"/>
        </references>
      </pivotArea>
    </format>
    <format dxfId="16">
      <pivotArea dataOnly="0" labelOnly="1" outline="0" fieldPosition="0">
        <references count="2">
          <reference field="1" count="1" selected="0">
            <x v="2"/>
          </reference>
          <reference field="8" count="0"/>
        </references>
      </pivotArea>
    </format>
    <format dxfId="15">
      <pivotArea dataOnly="0" labelOnly="1" outline="0" fieldPosition="0">
        <references count="2">
          <reference field="1" count="1" selected="0">
            <x v="3"/>
          </reference>
          <reference field="8" count="0"/>
        </references>
      </pivotArea>
    </format>
    <format dxfId="14">
      <pivotArea dataOnly="0" labelOnly="1" outline="0" fieldPosition="0">
        <references count="2">
          <reference field="1" count="1" selected="0">
            <x v="4"/>
          </reference>
          <reference field="8" count="0"/>
        </references>
      </pivotArea>
    </format>
    <format dxfId="13">
      <pivotArea dataOnly="0" labelOnly="1" outline="0" fieldPosition="0">
        <references count="2">
          <reference field="1" count="1" selected="0">
            <x v="5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AEF31-8E7B-45C0-84B4-1F3BBCD66180}" name="PT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23" firstHeaderRow="1" firstDataRow="2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compact="0" showAll="0"/>
    <pivotField compact="0" numFmtId="2" showAll="0"/>
    <pivotField compact="0" showAll="0"/>
    <pivotField dataField="1" compact="0" showAll="0"/>
    <pivotField axis="axisRow" compact="0" showAll="0">
      <items count="4">
        <item x="2"/>
        <item x="1"/>
        <item x="0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formats count="13">
    <format dxfId="12">
      <pivotArea field="8" type="button" dataOnly="0" labelOnly="1" outline="0" axis="axisRow" fieldPosition="0"/>
    </format>
    <format dxfId="11">
      <pivotArea field="0" type="button" dataOnly="0" labelOnly="1" outline="0" axis="axisRow" fieldPosition="1"/>
    </format>
    <format dxfId="10">
      <pivotArea dataOnly="0" labelOnly="1" outline="0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2">
          <reference field="0" count="0"/>
          <reference field="8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0" count="0"/>
          <reference field="8" count="1" selected="0">
            <x v="2"/>
          </reference>
        </references>
      </pivotArea>
    </format>
    <format dxfId="5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EA3A-83F4-4084-AB59-59056FADB7E5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D63F-D3C8-4A91-85B9-FE33C06BBF32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9">
        <v>8255.65</v>
      </c>
    </row>
    <row r="6" spans="2:3" ht="15.6" thickTop="1" thickBot="1" x14ac:dyDescent="0.35">
      <c r="B6" s="8" t="s">
        <v>10</v>
      </c>
      <c r="C6" s="12">
        <v>10844.650000000001</v>
      </c>
    </row>
    <row r="7" spans="2:3" ht="15" thickTop="1" x14ac:dyDescent="0.3">
      <c r="B7" s="5" t="s">
        <v>14</v>
      </c>
      <c r="C7" s="10">
        <v>13478.79</v>
      </c>
    </row>
    <row r="8" spans="2:3" ht="15" thickBot="1" x14ac:dyDescent="0.35">
      <c r="B8" s="7" t="s">
        <v>22</v>
      </c>
      <c r="C8" s="10">
        <v>11099.39</v>
      </c>
    </row>
    <row r="9" spans="2:3" ht="15" thickTop="1" x14ac:dyDescent="0.3">
      <c r="B9" s="5" t="s">
        <v>28</v>
      </c>
      <c r="C9" s="10">
        <v>201.12</v>
      </c>
    </row>
    <row r="10" spans="2:3" x14ac:dyDescent="0.3">
      <c r="B10" s="5" t="s">
        <v>29</v>
      </c>
      <c r="C10" s="11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5923-0998-4F96-9EF1-19863CA8FB8F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ht="15" thickBot="1" x14ac:dyDescent="0.35">
      <c r="B4" s="4" t="s">
        <v>32</v>
      </c>
      <c r="C4" s="18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14">
        <v>143</v>
      </c>
      <c r="D6" s="15"/>
      <c r="E6" s="16">
        <v>35</v>
      </c>
      <c r="F6" s="6">
        <v>178</v>
      </c>
    </row>
    <row r="7" spans="2:6" x14ac:dyDescent="0.3">
      <c r="B7" s="13" t="s">
        <v>25</v>
      </c>
      <c r="C7" s="6">
        <v>57</v>
      </c>
      <c r="D7" s="6"/>
      <c r="E7" s="6"/>
      <c r="F7" s="6">
        <v>57</v>
      </c>
    </row>
    <row r="8" spans="2:6" x14ac:dyDescent="0.3">
      <c r="B8" s="13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13" t="s">
        <v>21</v>
      </c>
      <c r="C9" s="6">
        <v>14</v>
      </c>
      <c r="D9" s="6"/>
      <c r="E9" s="6"/>
      <c r="F9" s="6">
        <v>14</v>
      </c>
    </row>
    <row r="10" spans="2:6" x14ac:dyDescent="0.3">
      <c r="B10" s="13" t="s">
        <v>3</v>
      </c>
      <c r="C10" s="6">
        <v>10</v>
      </c>
      <c r="D10" s="6"/>
      <c r="E10" s="6"/>
      <c r="F10" s="6">
        <v>10</v>
      </c>
    </row>
    <row r="11" spans="2:6" x14ac:dyDescent="0.3">
      <c r="B11" s="1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13" t="s">
        <v>25</v>
      </c>
      <c r="C13" s="6">
        <v>21</v>
      </c>
      <c r="D13" s="6"/>
      <c r="E13" s="6"/>
      <c r="F13" s="6">
        <v>21</v>
      </c>
    </row>
    <row r="14" spans="2:6" x14ac:dyDescent="0.3">
      <c r="B14" s="13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13" t="s">
        <v>21</v>
      </c>
      <c r="C15" s="6"/>
      <c r="D15" s="6">
        <v>40</v>
      </c>
      <c r="E15" s="6"/>
      <c r="F15" s="6">
        <v>40</v>
      </c>
    </row>
    <row r="16" spans="2:6" x14ac:dyDescent="0.3">
      <c r="B16" s="13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1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13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13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13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13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1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13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13" t="s">
        <v>15</v>
      </c>
      <c r="C26" s="6"/>
      <c r="D26" s="6">
        <v>48</v>
      </c>
      <c r="E26" s="6"/>
      <c r="F26" s="6">
        <v>48</v>
      </c>
    </row>
    <row r="27" spans="2:6" x14ac:dyDescent="0.3">
      <c r="B27" s="13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13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1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13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13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A959-72C6-4F3E-9016-7938150374D7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6" spans="2:3" ht="15" thickBot="1" x14ac:dyDescent="0.35"/>
    <row r="7" spans="2:3" x14ac:dyDescent="0.3">
      <c r="B7" s="19" t="s">
        <v>27</v>
      </c>
      <c r="C7" s="20" t="s">
        <v>30</v>
      </c>
    </row>
    <row r="8" spans="2:3" x14ac:dyDescent="0.3">
      <c r="B8" s="21" t="s">
        <v>25</v>
      </c>
      <c r="C8" s="22">
        <v>6525.04</v>
      </c>
    </row>
    <row r="9" spans="2:3" x14ac:dyDescent="0.3">
      <c r="B9" s="21" t="s">
        <v>15</v>
      </c>
      <c r="C9" s="22">
        <v>6941.0300000000007</v>
      </c>
    </row>
    <row r="10" spans="2:3" x14ac:dyDescent="0.3">
      <c r="B10" s="21" t="s">
        <v>21</v>
      </c>
      <c r="C10" s="22">
        <v>7192.0300000000007</v>
      </c>
    </row>
    <row r="11" spans="2:3" x14ac:dyDescent="0.3">
      <c r="B11" s="21" t="s">
        <v>3</v>
      </c>
      <c r="C11" s="22">
        <v>9496.92</v>
      </c>
    </row>
    <row r="12" spans="2:3" x14ac:dyDescent="0.3">
      <c r="B12" s="21" t="s">
        <v>16</v>
      </c>
      <c r="C12" s="22">
        <v>9622.93</v>
      </c>
    </row>
    <row r="13" spans="2:3" x14ac:dyDescent="0.3">
      <c r="B13" s="21" t="s">
        <v>26</v>
      </c>
      <c r="C13" s="25">
        <v>4101.6499999999996</v>
      </c>
    </row>
    <row r="14" spans="2:3" ht="15" thickBot="1" x14ac:dyDescent="0.35">
      <c r="B14" s="23" t="s">
        <v>29</v>
      </c>
      <c r="C14" s="24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796E-4F3A-43D7-AAD2-80ACA8C747EA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40</v>
      </c>
    </row>
    <row r="5" spans="2:4" x14ac:dyDescent="0.3">
      <c r="B5" t="s">
        <v>25</v>
      </c>
      <c r="C5" s="29" t="s">
        <v>24</v>
      </c>
      <c r="D5" s="6">
        <v>1</v>
      </c>
    </row>
    <row r="6" spans="2:4" x14ac:dyDescent="0.3">
      <c r="C6" s="30" t="s">
        <v>18</v>
      </c>
      <c r="D6" s="6">
        <v>2</v>
      </c>
    </row>
    <row r="7" spans="2:4" x14ac:dyDescent="0.3">
      <c r="C7" s="30" t="s">
        <v>12</v>
      </c>
      <c r="D7" s="6">
        <v>4</v>
      </c>
    </row>
    <row r="8" spans="2:4" x14ac:dyDescent="0.3">
      <c r="B8" t="s">
        <v>34</v>
      </c>
      <c r="C8" s="30"/>
      <c r="D8" s="6">
        <v>7</v>
      </c>
    </row>
    <row r="9" spans="2:4" x14ac:dyDescent="0.3">
      <c r="B9" t="s">
        <v>15</v>
      </c>
      <c r="C9" s="29" t="s">
        <v>24</v>
      </c>
      <c r="D9" s="6">
        <v>6</v>
      </c>
    </row>
    <row r="10" spans="2:4" x14ac:dyDescent="0.3">
      <c r="C10" s="30" t="s">
        <v>18</v>
      </c>
      <c r="D10" s="6">
        <v>2</v>
      </c>
    </row>
    <row r="11" spans="2:4" x14ac:dyDescent="0.3">
      <c r="C11" s="30" t="s">
        <v>12</v>
      </c>
      <c r="D11" s="6">
        <v>2</v>
      </c>
    </row>
    <row r="12" spans="2:4" x14ac:dyDescent="0.3">
      <c r="B12" t="s">
        <v>35</v>
      </c>
      <c r="C12" s="30"/>
      <c r="D12" s="6">
        <v>10</v>
      </c>
    </row>
    <row r="13" spans="2:4" x14ac:dyDescent="0.3">
      <c r="B13" t="s">
        <v>21</v>
      </c>
      <c r="C13" s="29" t="s">
        <v>24</v>
      </c>
      <c r="D13" s="6">
        <v>4</v>
      </c>
    </row>
    <row r="14" spans="2:4" x14ac:dyDescent="0.3">
      <c r="C14" s="30" t="s">
        <v>18</v>
      </c>
      <c r="D14" s="6">
        <v>2</v>
      </c>
    </row>
    <row r="15" spans="2:4" x14ac:dyDescent="0.3">
      <c r="C15" s="30" t="s">
        <v>12</v>
      </c>
      <c r="D15" s="6">
        <v>2</v>
      </c>
    </row>
    <row r="16" spans="2:4" x14ac:dyDescent="0.3">
      <c r="B16" t="s">
        <v>36</v>
      </c>
      <c r="C16" s="30"/>
      <c r="D16" s="6">
        <v>8</v>
      </c>
    </row>
    <row r="17" spans="2:4" x14ac:dyDescent="0.3">
      <c r="B17" t="s">
        <v>3</v>
      </c>
      <c r="C17" s="29" t="s">
        <v>24</v>
      </c>
      <c r="D17" s="6">
        <v>1</v>
      </c>
    </row>
    <row r="18" spans="2:4" x14ac:dyDescent="0.3">
      <c r="C18" s="30" t="s">
        <v>18</v>
      </c>
      <c r="D18" s="6">
        <v>6</v>
      </c>
    </row>
    <row r="19" spans="2:4" x14ac:dyDescent="0.3">
      <c r="C19" s="30" t="s">
        <v>12</v>
      </c>
      <c r="D19" s="6">
        <v>5</v>
      </c>
    </row>
    <row r="20" spans="2:4" ht="15" thickBot="1" x14ac:dyDescent="0.35">
      <c r="B20" t="s">
        <v>37</v>
      </c>
      <c r="C20" s="30"/>
      <c r="D20" s="6">
        <v>12</v>
      </c>
    </row>
    <row r="21" spans="2:4" ht="15" thickTop="1" x14ac:dyDescent="0.3">
      <c r="B21" t="s">
        <v>16</v>
      </c>
      <c r="C21" s="29" t="s">
        <v>24</v>
      </c>
      <c r="D21" s="26">
        <v>3</v>
      </c>
    </row>
    <row r="22" spans="2:4" x14ac:dyDescent="0.3">
      <c r="C22" s="30" t="s">
        <v>18</v>
      </c>
      <c r="D22" s="27">
        <v>4</v>
      </c>
    </row>
    <row r="23" spans="2:4" ht="15" thickBot="1" x14ac:dyDescent="0.35">
      <c r="C23" s="30" t="s">
        <v>12</v>
      </c>
      <c r="D23" s="28">
        <v>3</v>
      </c>
    </row>
    <row r="24" spans="2:4" ht="15" thickTop="1" x14ac:dyDescent="0.3">
      <c r="B24" t="s">
        <v>38</v>
      </c>
      <c r="C24" s="30"/>
      <c r="D24" s="6">
        <v>10</v>
      </c>
    </row>
    <row r="25" spans="2:4" x14ac:dyDescent="0.3">
      <c r="B25" t="s">
        <v>26</v>
      </c>
      <c r="C25" s="29" t="s">
        <v>24</v>
      </c>
      <c r="D25" s="6">
        <v>3</v>
      </c>
    </row>
    <row r="26" spans="2:4" x14ac:dyDescent="0.3">
      <c r="C26" s="30" t="s">
        <v>18</v>
      </c>
      <c r="D26" s="6">
        <v>1</v>
      </c>
    </row>
    <row r="27" spans="2:4" x14ac:dyDescent="0.3">
      <c r="C27" s="30" t="s">
        <v>12</v>
      </c>
      <c r="D27" s="6">
        <v>5</v>
      </c>
    </row>
    <row r="28" spans="2:4" x14ac:dyDescent="0.3">
      <c r="B28" t="s">
        <v>39</v>
      </c>
      <c r="C28" s="30"/>
      <c r="D28" s="6">
        <v>9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EDB8-2F93-4615-B111-1389B11810A1}">
  <dimension ref="B4:F23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5" width="6.77734375" bestFit="1" customWidth="1"/>
    <col min="6" max="6" width="10.5546875" bestFit="1" customWidth="1"/>
  </cols>
  <sheetData>
    <row r="4" spans="2:6" x14ac:dyDescent="0.3">
      <c r="B4" s="4" t="s">
        <v>41</v>
      </c>
      <c r="D4" s="4" t="s">
        <v>9</v>
      </c>
    </row>
    <row r="5" spans="2:6" x14ac:dyDescent="0.3">
      <c r="B5" s="31" t="s">
        <v>8</v>
      </c>
      <c r="C5" s="33" t="s">
        <v>0</v>
      </c>
      <c r="D5" t="s">
        <v>19</v>
      </c>
      <c r="E5" t="s">
        <v>13</v>
      </c>
      <c r="F5" t="s">
        <v>29</v>
      </c>
    </row>
    <row r="6" spans="2:6" x14ac:dyDescent="0.3">
      <c r="B6" s="32" t="s">
        <v>24</v>
      </c>
      <c r="C6" s="34"/>
      <c r="D6" s="6">
        <v>93</v>
      </c>
      <c r="E6" s="6">
        <v>80</v>
      </c>
      <c r="F6" s="6">
        <v>93</v>
      </c>
    </row>
    <row r="7" spans="2:6" x14ac:dyDescent="0.3">
      <c r="B7" s="32"/>
      <c r="C7" s="34" t="s">
        <v>20</v>
      </c>
      <c r="D7" s="6">
        <v>93</v>
      </c>
      <c r="E7" s="6">
        <v>24</v>
      </c>
      <c r="F7" s="6">
        <v>93</v>
      </c>
    </row>
    <row r="8" spans="2:6" x14ac:dyDescent="0.3">
      <c r="B8" s="32"/>
      <c r="C8" s="34" t="s">
        <v>10</v>
      </c>
      <c r="D8" s="6">
        <v>73</v>
      </c>
      <c r="E8" s="6">
        <v>80</v>
      </c>
      <c r="F8" s="6">
        <v>80</v>
      </c>
    </row>
    <row r="9" spans="2:6" x14ac:dyDescent="0.3">
      <c r="B9" s="32"/>
      <c r="C9" s="34" t="s">
        <v>14</v>
      </c>
      <c r="D9" s="6"/>
      <c r="E9" s="6">
        <v>79</v>
      </c>
      <c r="F9" s="6">
        <v>79</v>
      </c>
    </row>
    <row r="10" spans="2:6" x14ac:dyDescent="0.3">
      <c r="B10" s="32"/>
      <c r="C10" s="35" t="s">
        <v>22</v>
      </c>
      <c r="D10" s="6">
        <v>91</v>
      </c>
      <c r="E10" s="6">
        <v>78</v>
      </c>
      <c r="F10" s="6">
        <v>91</v>
      </c>
    </row>
    <row r="11" spans="2:6" x14ac:dyDescent="0.3">
      <c r="B11" s="32"/>
      <c r="C11" s="34" t="s">
        <v>28</v>
      </c>
      <c r="D11" s="6">
        <v>15</v>
      </c>
      <c r="E11" s="6"/>
      <c r="F11" s="6">
        <v>15</v>
      </c>
    </row>
    <row r="12" spans="2:6" x14ac:dyDescent="0.3">
      <c r="B12" s="32" t="s">
        <v>18</v>
      </c>
      <c r="C12" s="34"/>
      <c r="D12" s="6">
        <v>89</v>
      </c>
      <c r="E12" s="6">
        <v>95</v>
      </c>
      <c r="F12" s="6">
        <v>95</v>
      </c>
    </row>
    <row r="13" spans="2:6" x14ac:dyDescent="0.3">
      <c r="B13" s="32"/>
      <c r="C13" s="34" t="s">
        <v>20</v>
      </c>
      <c r="D13" s="6">
        <v>0</v>
      </c>
      <c r="E13" s="6">
        <v>95</v>
      </c>
      <c r="F13" s="6">
        <v>95</v>
      </c>
    </row>
    <row r="14" spans="2:6" x14ac:dyDescent="0.3">
      <c r="B14" s="32"/>
      <c r="C14" s="34" t="s">
        <v>10</v>
      </c>
      <c r="D14" s="6">
        <v>89</v>
      </c>
      <c r="E14" s="6">
        <v>94</v>
      </c>
      <c r="F14" s="6">
        <v>94</v>
      </c>
    </row>
    <row r="15" spans="2:6" x14ac:dyDescent="0.3">
      <c r="B15" s="32"/>
      <c r="C15" s="34" t="s">
        <v>14</v>
      </c>
      <c r="D15" s="6">
        <v>85</v>
      </c>
      <c r="E15" s="6">
        <v>57</v>
      </c>
      <c r="F15" s="6">
        <v>85</v>
      </c>
    </row>
    <row r="16" spans="2:6" x14ac:dyDescent="0.3">
      <c r="B16" s="32"/>
      <c r="C16" s="35" t="s">
        <v>22</v>
      </c>
      <c r="D16" s="6">
        <v>81</v>
      </c>
      <c r="E16" s="6">
        <v>59</v>
      </c>
      <c r="F16" s="6">
        <v>81</v>
      </c>
    </row>
    <row r="17" spans="2:6" x14ac:dyDescent="0.3">
      <c r="B17" s="32" t="s">
        <v>12</v>
      </c>
      <c r="C17" s="34"/>
      <c r="D17" s="6">
        <v>85</v>
      </c>
      <c r="E17" s="6">
        <v>98</v>
      </c>
      <c r="F17" s="6">
        <v>98</v>
      </c>
    </row>
    <row r="18" spans="2:6" x14ac:dyDescent="0.3">
      <c r="B18" s="32"/>
      <c r="C18" s="34" t="s">
        <v>20</v>
      </c>
      <c r="D18" s="6">
        <v>80</v>
      </c>
      <c r="E18" s="6">
        <v>89</v>
      </c>
      <c r="F18" s="6">
        <v>89</v>
      </c>
    </row>
    <row r="19" spans="2:6" x14ac:dyDescent="0.3">
      <c r="B19" s="32"/>
      <c r="C19" s="34" t="s">
        <v>10</v>
      </c>
      <c r="D19" s="6">
        <v>39</v>
      </c>
      <c r="E19" s="6">
        <v>66</v>
      </c>
      <c r="F19" s="6">
        <v>66</v>
      </c>
    </row>
    <row r="20" spans="2:6" x14ac:dyDescent="0.3">
      <c r="B20" s="32"/>
      <c r="C20" s="34" t="s">
        <v>14</v>
      </c>
      <c r="D20" s="6">
        <v>83</v>
      </c>
      <c r="E20" s="6">
        <v>98</v>
      </c>
      <c r="F20" s="6">
        <v>98</v>
      </c>
    </row>
    <row r="21" spans="2:6" x14ac:dyDescent="0.3">
      <c r="B21" s="32"/>
      <c r="C21" s="35" t="s">
        <v>22</v>
      </c>
      <c r="D21" s="6">
        <v>85</v>
      </c>
      <c r="E21" s="6">
        <v>56</v>
      </c>
      <c r="F21" s="6">
        <v>85</v>
      </c>
    </row>
    <row r="22" spans="2:6" x14ac:dyDescent="0.3">
      <c r="B22" s="32"/>
      <c r="C22" s="34" t="s">
        <v>28</v>
      </c>
      <c r="D22" s="6"/>
      <c r="E22" s="6">
        <v>78</v>
      </c>
      <c r="F22" s="6">
        <v>78</v>
      </c>
    </row>
    <row r="23" spans="2:6" x14ac:dyDescent="0.3">
      <c r="B23" s="32" t="s">
        <v>29</v>
      </c>
      <c r="C23" s="34"/>
      <c r="D23" s="6">
        <v>93</v>
      </c>
      <c r="E23" s="6">
        <v>98</v>
      </c>
      <c r="F23" s="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P1</vt:lpstr>
      <vt:lpstr>P2</vt:lpstr>
      <vt:lpstr>P3</vt:lpstr>
      <vt:lpstr>P4</vt:lpstr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2026-10-11T21:15:58Z</dcterms:created>
  <dcterms:modified xsi:type="dcterms:W3CDTF">2026-10-11T21:16:10Z</dcterms:modified>
</cp:coreProperties>
</file>